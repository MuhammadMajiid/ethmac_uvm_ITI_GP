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8" Type="http://schemas.microsoft.com/office/2020/02/relationships/classificationlabels" Target="docMetadata/LabelInfo.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ITI\GP\repo\plan_phase\majid\"/>
    </mc:Choice>
  </mc:AlternateContent>
  <bookViews>
    <workbookView xWindow="0" yWindow="0" windowWidth="16380" windowHeight="8196" tabRatio="500"/>
  </bookViews>
  <sheets>
    <sheet name="MIIM &amp; TX TEST PLAN" sheetId="1" r:id="rId1"/>
    <sheet name="PHY REGS" sheetId="2" r:id="rId2"/>
    <sheet name="TPs Skeleton" sheetId="3" r:id="rId3"/>
  </sheets>
  <definedNames>
    <definedName name="Project_Start">#REF!</definedName>
    <definedName name="Scrolling_Increment">#REF!</definedName>
  </definedNames>
  <calcPr calcId="162913"/>
</workbook>
</file>

<file path=xl/calcChain.xml><?xml version="1.0" encoding="utf-8"?>
<calcChain xmlns="http://schemas.openxmlformats.org/spreadsheetml/2006/main">
  <c r="E40" i="1" l="1"/>
  <c r="E39" i="1"/>
  <c r="E38" i="1"/>
  <c r="E37" i="1"/>
  <c r="E36" i="1"/>
  <c r="E35" i="1"/>
  <c r="E34" i="1"/>
  <c r="E33" i="1"/>
  <c r="E32" i="1"/>
  <c r="E31" i="1"/>
  <c r="E30" i="1"/>
  <c r="E29" i="1"/>
  <c r="E28" i="1"/>
  <c r="E27" i="1"/>
  <c r="E26" i="1"/>
  <c r="E25" i="1"/>
  <c r="E24" i="1"/>
  <c r="E23" i="1"/>
  <c r="E22" i="1"/>
  <c r="E16" i="1"/>
  <c r="E15" i="1"/>
  <c r="E14" i="1"/>
  <c r="E13" i="1"/>
  <c r="E12" i="1"/>
  <c r="E11" i="1"/>
  <c r="E10" i="1"/>
  <c r="E9" i="1"/>
  <c r="E8" i="1"/>
  <c r="E7" i="1"/>
  <c r="E6" i="1"/>
  <c r="E5" i="1"/>
  <c r="E4" i="1"/>
  <c r="E3" i="1"/>
  <c r="E2" i="1"/>
  <c r="E1048554" i="1" l="1"/>
</calcChain>
</file>

<file path=xl/sharedStrings.xml><?xml version="1.0" encoding="utf-8"?>
<sst xmlns="http://schemas.openxmlformats.org/spreadsheetml/2006/main" count="621" uniqueCount="393">
  <si>
    <t>Section no.</t>
  </si>
  <si>
    <t>Section name</t>
  </si>
  <si>
    <t>Subsection no.</t>
  </si>
  <si>
    <t>Subsection name</t>
  </si>
  <si>
    <t>Item no.</t>
  </si>
  <si>
    <t>Name</t>
  </si>
  <si>
    <t>Description</t>
  </si>
  <si>
    <t>Pass/Fail Criteria</t>
  </si>
  <si>
    <t>NOTES</t>
  </si>
  <si>
    <t>progress</t>
  </si>
  <si>
    <t>status</t>
  </si>
  <si>
    <t>Test Type</t>
  </si>
  <si>
    <t>Covergroup</t>
  </si>
  <si>
    <t>MIIM</t>
  </si>
  <si>
    <t>CLOCK GEN</t>
  </si>
  <si>
    <t>tc_miim_clkdiv</t>
  </si>
  <si>
    <t>Try all even values from 1:255 by the CLKDIV bits in MODER[7:0]</t>
  </si>
  <si>
    <t>If Mdc signal freq is equal to the Clk signal divided by the CLKDIV parameter with allowing error of 1clk cycle</t>
  </si>
  <si>
    <t>Constrained Random</t>
  </si>
  <si>
    <t>miim_cg</t>
  </si>
  <si>
    <t>WRITE</t>
  </si>
  <si>
    <t>tc_miim_write_phy</t>
  </si>
  <si>
    <t>Toggle MIINOPRE bit in MODER[8] to test the write frame with and without the preamble</t>
  </si>
  <si>
    <t>When 1: If the frame sent to the PHY if is only 32-bit and with the following format {2’b01,2’b01FIAD[4:0],RGAD[4:0],10,DATA[15:0]} 
When 0: If the frame sent to the PHY if is 64-bit and with the following format {32’hFFFFFFFF,2’b01,2’b01FIAD[4:0],RGAD[4:0],10,DATA[15:0]}</t>
  </si>
  <si>
    <t>tc_miim_busy_assrt</t>
  </si>
  <si>
    <t>Check on the BUSY bit in MIISTATUS[1] after setting the WCTRLDATA bit in MIICOMMAND[2]</t>
  </si>
  <si>
    <t>If it gets asserted after the positive edge of the WCTRLDATA bit in MIICOMMAND[2]
If it gets De-asserted after the internal signal EndOp indicating the end of the write operation</t>
  </si>
  <si>
    <t>Assertion</t>
  </si>
  <si>
    <t>tc_miim_rst_phy</t>
  </si>
  <si>
    <t>Reset the phy through a write operation</t>
  </si>
  <si>
    <t>If the phy regs resets to the default values</t>
  </si>
  <si>
    <t>See the write operation values for that</t>
  </si>
  <si>
    <t>Directed</t>
  </si>
  <si>
    <t>READ</t>
  </si>
  <si>
    <t>tc_miim_read_phy</t>
  </si>
  <si>
    <t>Toggle MIINOPRE bit in MODER[8] to test the read frame with and without the preamble</t>
  </si>
  <si>
    <t>When 1: If the frame sent from the PHY to the MII_RXDATA reg is only 32-bit and with the following format {2’b01,2’b01FIAD[4:0],RGAD[4:0],Z0,DATA[15:0]} 
When 0: If the frame from the PHY to the MII_RXDATA reg  is 64-bit and with the following format {32’hFFFFFFFF,2’b01,2’b01FIAD[4:0],RGAD[4:0],Z0,DATA[15:0]}</t>
  </si>
  <si>
    <t>Turn Around Bits:
One-bit period in which the PHY stays in the high-Z state
followed by a one-bit period during which the PHY drives a zero on the MDO</t>
  </si>
  <si>
    <t>Check on the BUSY bit in MIISTATUS[1] after setting the RSTAT bit in MIICOMMAND[1]</t>
  </si>
  <si>
    <t>SCAN</t>
  </si>
  <si>
    <t>tc_miim_scan</t>
  </si>
  <si>
    <t>Check on the BUSY bit in MIISTATUS[1] after setting the SCANSTAT bit in the MIICOMMAND[0], and check on the NVALID bit in the MIISTATUS[2]</t>
  </si>
  <si>
    <t>If BUSY signal stays HIGH until the last SCAN operation,
 And the NVALID signal cleasrs to LOW after the first full scan operation is done</t>
  </si>
  <si>
    <t>tc_miim_scan_linkfail</t>
  </si>
  <si>
    <t>Check that the value of the LINKFAIL bit in the MIISTATUS[0]</t>
  </si>
  <si>
    <r>
      <rPr>
        <sz val="20"/>
        <color theme="1"/>
        <rFont val="Calibri"/>
        <family val="2"/>
        <charset val="1"/>
      </rPr>
      <t xml:space="preserve">If the LINKFAIL bit in the MIISTATUS[0] always mirrors the </t>
    </r>
    <r>
      <rPr>
        <sz val="20"/>
        <color theme="1"/>
        <rFont val="Aptos"/>
      </rPr>
      <t>in the PHY STATUS REG bit Link Status
During a scan operation</t>
    </r>
  </si>
  <si>
    <t>Stress</t>
  </si>
  <si>
    <t>tc_miim_write_readonly_regs</t>
  </si>
  <si>
    <t>write in a read only phy/miim regs then read it</t>
  </si>
  <si>
    <t>If the phy/miim ignores the write operation and perserves its values</t>
  </si>
  <si>
    <t>tc_miim_priority</t>
  </si>
  <si>
    <t>Check the priorities of the three commands [WRITE/READ/SCAN] in MIICOMMAND[2:0]</t>
  </si>
  <si>
    <t>If it the three bits are asserted simultaneously then it will result in  WRITE then SCAN
MIICOMMAND[2:0] ==&gt; {WCTRLDATA.RSTAT,SCAN}
If MIICOMMAND[2:0] = 3’b111 → WRITE then SCAN
If MIICOMMAND[2:0] = 3’b110 → WRITE
If MIICOMMAND[2:0] = 3’b101 → WRITE then SCAN
If MIICOMMAND[2:0] = 3’b011 → READ then SCAN</t>
  </si>
  <si>
    <t>The specs does not show which has higher priority than which, but according to the RTL:
- if all three are asserted then it will be WRITE then SCAN
WRITE goes over READ and both get cleared automatically after the write operation is done but the scan waits and goes on until it is disabled by the user</t>
  </si>
  <si>
    <t>tc_miim_wrong_phy_addr</t>
  </si>
  <si>
    <t>Write in a non-writeable or reserved PHY regs, and read from them.</t>
  </si>
  <si>
    <t>For the readonly regs check with a read  operation that after the wrtie operation the values still as they were before the write.
For the reserved check they are all ZEROs</t>
  </si>
  <si>
    <t>tc_miim_scan_intr</t>
  </si>
  <si>
    <t>Sliding stop of scan (Assert SCANSTAT then immediately clear).</t>
  </si>
  <si>
    <t>Verify no MDC edges appear 10 CLK cycles post-stop,
BUSY deasserts properly; MDIO high-Z within 2 MDC cycles; partial frames abort cleanly.</t>
  </si>
  <si>
    <t>Walking</t>
  </si>
  <si>
    <t>tc_miim_walk_phy_addr</t>
  </si>
  <si>
    <t>Walking-1 across FIAD[4:0] with and without preamble.</t>
  </si>
  <si>
    <t>MDIO frames accurately reflect the walking FIAD addresses.</t>
  </si>
  <si>
    <t>tc_miim_walk_reg_addr</t>
  </si>
  <si>
    <t>Walking-1 across RGAD[4:0] with and without preamble.</t>
  </si>
  <si>
    <t>MDIO frames accurately reflect the walking RGAD addresses.</t>
  </si>
  <si>
    <t>tc_miim_walk_data</t>
  </si>
  <si>
    <t>Walking-1 across 16-bit write data with/without preamble.</t>
  </si>
  <si>
    <t>MDIO frames accurately reflect the walking data payload.</t>
  </si>
  <si>
    <t>TX</t>
  </si>
  <si>
    <t>FRAME LENGTH &amp; PADDING</t>
  </si>
  <si>
    <t>tc_tx_basic_frame</t>
  </si>
  <si>
    <t xml:space="preserve">Transmit single minimum-length frame (64B) under normal conditions. </t>
  </si>
  <si>
    <t xml:space="preserve">MII monitor captures exactly 7 bytes of preamble (0x55), 1 byte of SFD (0xD), 64 bytes of payload, and a valid 4-byte CRC. No errors flagged in the scoreboard. </t>
  </si>
  <si>
    <t>Baseline structural test.</t>
  </si>
  <si>
    <t>Directed / CR</t>
  </si>
  <si>
    <t>tx_frame_cg</t>
  </si>
  <si>
    <t>tc_tx_max_frame</t>
  </si>
  <si>
    <t xml:space="preserve">Transmit maximum standard length frame (1536B) defined by register constraints. </t>
  </si>
  <si>
    <t xml:space="preserve">Full 1536 bytes are parsed and transmitted onto the MII interface without truncation or early deassertion of MTxEn. </t>
  </si>
  <si>
    <t>Verifies max counter limits.</t>
  </si>
  <si>
    <t>tc_tx_short_frame_pad_on</t>
  </si>
  <si>
    <t xml:space="preserve">Transmit a short frame (&lt; 64B) with MODER.PAD = 1. </t>
  </si>
  <si>
    <t xml:space="preserve">Core automatically adds zero-padding bytes up to the 64B limit before calculating and appending a valid 4-byte CRC. </t>
  </si>
  <si>
    <t>Pointers must correctly update.</t>
  </si>
  <si>
    <t>tc_tx_short_frame_pad_off</t>
  </si>
  <si>
    <t xml:space="preserve">Transmit a short frame (&lt; 64B) with MODER.PAD = 0. </t>
  </si>
  <si>
    <t xml:space="preserve">Core transmits the short frame as-is without modification. MII interface frame length matches the exact payload length of the TX BD. </t>
  </si>
  <si>
    <t>Runt frame verification.</t>
  </si>
  <si>
    <t>tc_tx_huge_frame</t>
  </si>
  <si>
    <t xml:space="preserve">Transmission completes fully on the MII path without being prematurely truncated or generating core exceptions. </t>
  </si>
  <si>
    <t>Oversized payload checking.</t>
  </si>
  <si>
    <t>tc_tx_huge_disabled</t>
  </si>
  <si>
    <t xml:space="preserve">Core forcefully aborts transmission precisely at the max frame length boundary, deasserts MTxEn, and sets the error bit in the TX BD. </t>
  </si>
  <si>
    <t>Truncation safety verification.</t>
  </si>
  <si>
    <t>CRC CONFIGURATION</t>
  </si>
  <si>
    <t>tc_tx_crc_enable</t>
  </si>
  <si>
    <t xml:space="preserve">Transmit frame with CRC generation enabled via MODER.CRCEN = 1. </t>
  </si>
  <si>
    <t xml:space="preserve">A valid 4-byte FCS (CRC-32) field is calculated on-the-fly and cleanly appended to the end of the frame on MII. </t>
  </si>
  <si>
    <t>Core hardware CRC test.</t>
  </si>
  <si>
    <t>tc_tx_crc_disable</t>
  </si>
  <si>
    <t xml:space="preserve">Transmit frame with CRC generation disabled via MODER.CRCEN = 0. </t>
  </si>
  <si>
    <t xml:space="preserve">Frame transmission terminates immediately following the final payload byte on MII without appending a CRC field. </t>
  </si>
  <si>
    <t>For testing pre-calculated CRCs.</t>
  </si>
  <si>
    <t>tc_tx_delayed_crc</t>
  </si>
  <si>
    <t xml:space="preserve">Transmit frame with delayed CRC enabled via MODER.DLYCRCEN = 1. </t>
  </si>
  <si>
    <t xml:space="preserve">CRC calculation delays by exactly 4 bytes after the SFD; appended CRC reflects this shifted calculation window. </t>
  </si>
  <si>
    <t>Specifically targets tag/VLAN padding.</t>
  </si>
  <si>
    <t>PREAMBLE &amp; IPG CONTROL</t>
  </si>
  <si>
    <t>tc_tx_no_preamble</t>
  </si>
  <si>
    <t xml:space="preserve">Transmit frame with preamble suppression via MODER.NOPRE = 1. </t>
  </si>
  <si>
    <t xml:space="preserve">The standard 7-byte preamble sequence is entirely omitted; transmission begins directly with the SFD or data byte on MII. </t>
  </si>
  <si>
    <t>Aggressive timing test.</t>
  </si>
  <si>
    <t>tc_tx_ipg_back_to_back</t>
  </si>
  <si>
    <t xml:space="preserve">Transmit successive frames back-to-back with minimum inter-packet spacing. </t>
  </si>
  <si>
    <t xml:space="preserve">Inter-Packet Gap between the deassertion of MTxEn and the next assertion is ≥0.96μs (or matches the IPGT register value). </t>
  </si>
  <si>
    <t>Throughput optimization check.</t>
  </si>
  <si>
    <t>tx_ipg_cg</t>
  </si>
  <si>
    <t>tc_tx_ipg_non_back_to_back</t>
  </si>
  <si>
    <t xml:space="preserve">Verify non-back-to-back transmissions respect spacing constraints. </t>
  </si>
  <si>
    <t xml:space="preserve">Carrier deferral window timers accurately space frames in compliance with IPGR1 and IPGR2 register definitions. </t>
  </si>
  <si>
    <t>Medium deferral check.</t>
  </si>
  <si>
    <t>HALF-DUPLEX &amp; COLLISION SCENARIOS</t>
  </si>
  <si>
    <t>tc_tx_retry_count</t>
  </si>
  <si>
    <t>Operate in Half-Duplex (MODER.FULLD = 0) and inject asynchronous collisions via MColl.</t>
  </si>
  <si>
    <t>Core stops active data transmission, drives a 4-byte jam pattern (0x99999999), carries out binary backoff, and increments RTRY.</t>
  </si>
  <si>
    <t>CSMA/CD loop test.</t>
  </si>
  <si>
    <t>Error Injection</t>
  </si>
  <si>
    <t>tx_collision_cg</t>
  </si>
  <si>
    <t>tc_tx_max_retry</t>
  </si>
  <si>
    <t xml:space="preserve">Force continuous collisions that exceed the maximum limit (COLLCONF.MAXRET ). </t>
  </si>
  <si>
    <t xml:space="preserve">Transmission aborts gracefully after reaching MAXRET iterations, flags the Limit Exceeded (RL) bit in the BD, and drops the frame. </t>
  </si>
  <si>
    <t>Network lockup preservation test.</t>
  </si>
  <si>
    <t>tc_tx_late_collision</t>
  </si>
  <si>
    <t xml:space="preserve">Assert the MColl line outside the designated validation window set by COLLCONF. </t>
  </si>
  <si>
    <t xml:space="preserve">Transmission drops instantly, the Late Collision (LC) flag is recorded in the descriptor, and no backoff retransmission occurs. </t>
  </si>
  <si>
    <t>Out-of-window collision rule check.</t>
  </si>
  <si>
    <t>tc_tx_excessive_deferral</t>
  </si>
  <si>
    <t xml:space="preserve">Clear MODER.EXDFREN = 0 and hold the carrier line active longer than the maximum limit. </t>
  </si>
  <si>
    <t xml:space="preserve">Core drops the pending packet transmission and updates the descriptor with an excessive deferral error state. </t>
  </si>
  <si>
    <t>Medium lockup timeout test.</t>
  </si>
  <si>
    <t>tc_tx_excessive_deferral_wait</t>
  </si>
  <si>
    <t xml:space="preserve">Set MODER.EXDFREN = 1 and keep the carrier medium active indefinitely. </t>
  </si>
  <si>
    <t xml:space="preserve">Transmit unit continuously defers and waits for the carrier medium to clear without aborting the descriptor or discarding data. </t>
  </si>
  <si>
    <t>Indefinite block-and-wait feature.</t>
  </si>
  <si>
    <t>tc_tx_carrier_sense_lost</t>
  </si>
  <si>
    <t xml:space="preserve">Deassert the Carrier Sense line (MCrS) during the middle of an active frame transmission. </t>
  </si>
  <si>
    <t xml:space="preserve">Packet completes transmission, but the Carrier Sense Lost (CS) status flag is logged inside the respective Buffer Descriptor. </t>
  </si>
  <si>
    <t>Wire-fault diagnosis check.</t>
  </si>
  <si>
    <t>tx_error_cg</t>
  </si>
  <si>
    <t>PATH LOOPBACK</t>
  </si>
  <si>
    <t>tc_tx_loopback</t>
  </si>
  <si>
    <t>Bypasses PHY layer for localized verification.</t>
  </si>
  <si>
    <t>tx_loopback_cg</t>
  </si>
  <si>
    <t>FLOW CONTROL &amp; DEFERRAL</t>
  </si>
  <si>
    <t>tc_tx_slot_timer_alignment</t>
  </si>
  <si>
    <t>Trigger a retry condition and track the internal slot timer behavior relative to system clock variation.</t>
  </si>
  <si>
    <t>The internal slot timer generates a precise, synchronous pulse to control backoff increments exactly matching standard slot boundaries.</t>
  </si>
  <si>
    <t>Checks internal slot clock accuracy.</t>
  </si>
  <si>
    <t>tx_timing_cg</t>
  </si>
  <si>
    <t>Reg Addr</t>
  </si>
  <si>
    <t>Access</t>
  </si>
  <si>
    <t>Functionality</t>
  </si>
  <si>
    <t>Control</t>
  </si>
  <si>
    <t>RW</t>
  </si>
  <si>
    <t>Soft Reset, Speed Select, Duplex Mode, Auto-Negotiation Enable, Power Down, Loopback.</t>
  </si>
  <si>
    <t>Status</t>
  </si>
  <si>
    <t>RO</t>
  </si>
  <si>
    <t>Link Status, Auto-Neg Ability/Complete, Remote Fault, Extended Capability.</t>
  </si>
  <si>
    <t>PHY ID 1</t>
  </si>
  <si>
    <t>OUI (Organizationally Unique Identifier) bits 3–18.</t>
  </si>
  <si>
    <t>PHY ID 2</t>
  </si>
  <si>
    <t>OUI bits 19–24, Model Number, Revision Number.</t>
  </si>
  <si>
    <t>Auto-Neg Advertisement</t>
  </si>
  <si>
    <t>Technology Ability Field (10/100/1000 Mbps, Full/Half Duplex).</t>
  </si>
  <si>
    <t>Auto-Neg Link Partner</t>
  </si>
  <si>
    <t>Ability of the remote partner (received during auto-negotiation).</t>
  </si>
  <si>
    <t>Auto-Neg Expansion</t>
  </si>
  <si>
    <t>Auto-negotiation status (e.g., page received).</t>
  </si>
  <si>
    <t>7-14</t>
  </si>
  <si>
    <t>Reserved</t>
  </si>
  <si>
    <t>-</t>
  </si>
  <si>
    <t>Reserved by IEEE.</t>
  </si>
  <si>
    <t>Extended Status</t>
  </si>
  <si>
    <t>Indicates support for 1000BASE-T/X.</t>
  </si>
  <si>
    <t>16-31</t>
  </si>
  <si>
    <t>Vendor Specific</t>
  </si>
  <si>
    <t>Defined by the PHY manufacturer (e.g., interrupt configuration, LED settings, cable diagnostics).</t>
  </si>
  <si>
    <t>PHY Control Reg → Addr 0</t>
  </si>
  <si>
    <t>Reset</t>
  </si>
  <si>
    <t>1 = PHY Software Reset. Self-clearing.</t>
  </si>
  <si>
    <t>Loopback</t>
  </si>
  <si>
    <t>1 = Loopback mode (connects TX to RX internally).</t>
  </si>
  <si>
    <t>Speed Selection</t>
  </si>
  <si>
    <t>1 = 100 Mbps (if 10/100 capable), 0 = 10 Mbps.</t>
  </si>
  <si>
    <t>Auto-Neg Enable</t>
  </si>
  <si>
    <t>1 = Enable Auto-Negotiation.</t>
  </si>
  <si>
    <t>Power Down</t>
  </si>
  <si>
    <t>1 = Power down PHY.</t>
  </si>
  <si>
    <t>Isolate</t>
  </si>
  <si>
    <t>1 = Electrically isolate PHY from MII.</t>
  </si>
  <si>
    <t>Restart Auto-Neg</t>
  </si>
  <si>
    <t>1 = Restart Auto-Negotiation process.</t>
  </si>
  <si>
    <t>Duplex Mode</t>
  </si>
  <si>
    <t>1 = Full Duplex, 0 = Half Duplex.</t>
  </si>
  <si>
    <t>Collision Test</t>
  </si>
  <si>
    <t>1 = Enable Collision Test.</t>
  </si>
  <si>
    <t>6-0</t>
  </si>
  <si>
    <t>Always 0.</t>
  </si>
  <si>
    <t>PHY Status Reg → Addr 1</t>
  </si>
  <si>
    <t>Bit</t>
  </si>
  <si>
    <t>Function</t>
  </si>
  <si>
    <t>15-11</t>
  </si>
  <si>
    <t>Capability</t>
  </si>
  <si>
    <t>Reports if PHY supports 100BASE-T4, 100TX Full/Half, 10T Full/Half.</t>
  </si>
  <si>
    <t>10-7</t>
  </si>
  <si>
    <t>MF Preamble Supp.</t>
  </si>
  <si>
    <t>1 = PHY accepts non-preamble frames.</t>
  </si>
  <si>
    <t>Auto-Neg Complete</t>
  </si>
  <si>
    <t>1 = Auto-negotiation process has finished.</t>
  </si>
  <si>
    <t>Remote Fault</t>
  </si>
  <si>
    <t>1 = Fault detected by link partner.</t>
  </si>
  <si>
    <t>Auto-Neg Ability</t>
  </si>
  <si>
    <t>1 = PHY supports auto-negotiation.</t>
  </si>
  <si>
    <t>Link Status</t>
  </si>
  <si>
    <t>1 = Link is up/OK, 0 = Link is down.</t>
  </si>
  <si>
    <t>Jabber Detect</t>
  </si>
  <si>
    <t>1 = Jabber condition detected.</t>
  </si>
  <si>
    <t>Extended Cap</t>
  </si>
  <si>
    <t>1 = Extended register set exists.</t>
  </si>
  <si>
    <t>TX TP</t>
  </si>
  <si>
    <t>Transmit single minimum-length frame (64B) under normal conditions. PDF</t>
  </si>
  <si>
    <t>MII monitor captures exactly 7 bytes of preamble (0x55), 1 byte of SFD (0xD), 64 bytes of payload, and a valid 4-byte CRC. No errors flagged in the scoreboard. PDF</t>
  </si>
  <si>
    <t>Transmit maximum standard length frame (1518B) defined by register constraints. PDF</t>
  </si>
  <si>
    <t>Full 1518 bytes are parsed and transmitted onto the MII interface without truncation or early deassertion of MTxEn. PDF</t>
  </si>
  <si>
    <t>Transmit a short frame (&lt; 64B) with MODER.PAD = 1. PDF+ 1</t>
  </si>
  <si>
    <t>Core automatically adds zero-padding bytes up to the 64B limit before calculating and appending a valid 4-byte CRC. PDF</t>
  </si>
  <si>
    <t>Transmit a short frame (&lt; 64B) with MODER.PAD = 0. PDF+ 1</t>
  </si>
  <si>
    <t>Core transmits the short frame as-is without modification. MII interface frame length matches the exact payload length of the TX BD. PDF</t>
  </si>
  <si>
    <t>Transmit a massive frame exceeding standard limits (&gt;1518B) with MODER.HUGEN = 1. PDF+ 1</t>
  </si>
  <si>
    <t>Transmission completes fully on the MII path without being prematurely truncated or generating core exceptions. PDF</t>
  </si>
  <si>
    <t>Transmit an oversized frame (&gt;1518B) with MODER.HUGEN = 0. PDF+ 1</t>
  </si>
  <si>
    <t>Core forcefully aborts transmission precisely at the max frame length boundary, deasserts MTxEn, and sets the error bit in the TX BD. PDF</t>
  </si>
  <si>
    <t>Transmit frame with CRC generation enabled via MODER.CRCEN = 1. PDF+ 1</t>
  </si>
  <si>
    <t>A valid 4-byte FCS (CRC-32) field is calculated on-the-fly and cleanly appended to the end of the frame on MII. PDF</t>
  </si>
  <si>
    <t>Transmit frame with CRC generation disabled via MODER.CRCEN = 0. PDF+ 1</t>
  </si>
  <si>
    <t>Frame transmission terminates immediately following the final payload byte on MII without appending a CRC field. PDF</t>
  </si>
  <si>
    <t>Transmit frame with delayed CRC enabled via MODER.DLYCRCEN = 1. PDF+ 1</t>
  </si>
  <si>
    <t>CRC calculation delays by exactly 4 bytes after the SFD; appended CRC reflects this shifted calculation window. PDF</t>
  </si>
  <si>
    <t>Transmit frame with preamble suppression via MODER.NOPRE = 1. PDF+ 1</t>
  </si>
  <si>
    <t>The standard 7-byte preamble sequence is entirely omitted; transmission begins directly with the SFD or data byte on MII. PDF</t>
  </si>
  <si>
    <t>Transmit successive frames back-to-back with minimum inter-packet spacing. PDF</t>
  </si>
  <si>
    <t>Inter-Packet Gap between the deassertion of MTxEn and the next assertion is ≥0.96μs (or matches the IPGT register value). PDF</t>
  </si>
  <si>
    <t>Verify non-back-to-back transmissions respect spacing constraints. PDF</t>
  </si>
  <si>
    <t>Carrier deferral window timers accurately space frames in compliance with IPGR1 and IPGR2 register definitions. PDF</t>
  </si>
  <si>
    <t>BUFFER DESCRIPTOR MANAGEMENT</t>
  </si>
  <si>
    <t>tc_tx_multi_bd_chain</t>
  </si>
  <si>
    <t>Chain a sequence of 8 distinct TX Buffer Descriptors with WR = 0 until the terminal entry. PDF</t>
  </si>
  <si>
    <t>The internal DMA engine handles all 8 frame descriptor blocks sequentially and continuously without stalls or bus drops. PDF</t>
  </si>
  <si>
    <t>tx_bd_cg</t>
  </si>
  <si>
    <t>Stress-tests DMA ping-pong switching.</t>
  </si>
  <si>
    <t>tc_tx_wrap_bit</t>
  </si>
  <si>
    <t>Configure a TX BD with the wrap-around field active (WR = 1).</t>
  </si>
  <si>
    <t>Upon completion of the frame, the internal descriptor ring pointer cycles back to base address 0x400 perfectly. PDF</t>
  </si>
  <si>
    <t>Ring buffer boundary validation.</t>
  </si>
  <si>
    <t>tc_tx_unaligned_ptr</t>
  </si>
  <si>
    <t>Use non-word-aligned memory reference pointers inside a target TX BD. PDF</t>
  </si>
  <si>
    <t>The WISHBONE master module accurately coordinates partial-byte reads to assemble payload without causing phase offsets. PDF</t>
  </si>
  <si>
    <t>Essential for arbitrary byte-alignment.</t>
  </si>
  <si>
    <t>tc_tx_only_4byte_min</t>
  </si>
  <si>
    <t>Configure a TX Buffer Descriptor with a length parameter LEN &lt;= 4. PDF</t>
  </si>
  <si>
    <t>The core suppresses transmission of the payload fragment to safeguard against corrupt short slivers on-wire. PDF</t>
  </si>
  <si>
    <t>Edge-case error rejection test.</t>
  </si>
  <si>
    <t>ERROR HANDLING &amp; INTERRUPTS</t>
  </si>
  <si>
    <t>tc_tx_underrun</t>
  </si>
  <si>
    <t>Artificially throttle the system WISHBONE master bus to starve the TX FIFO mid-frame. PDF</t>
  </si>
  <si>
    <t>Core forces a clean frame abort, deasserts MTxEn, and sets the Underrun (UR) status indicator inside the active TX BD. PDF</t>
  </si>
  <si>
    <t>Interconnect bottleneck resilience.</t>
  </si>
  <si>
    <t>tc_tx_done_interrupt</t>
  </si>
  <si>
    <t>Activate the Interrupt Request bit (IRQ = 1) inside a standard TX BD. PDF</t>
  </si>
  <si>
    <t>Immediately following frame transmission completion, the TXB bit in INT_SOURCE fires and the hardware line INTA_O goes high. PDF</t>
  </si>
  <si>
    <t>tx_int_cg</t>
  </si>
  <si>
    <t>Interrupt subsystem handshake test.</t>
  </si>
  <si>
    <t>tc_tx_error_interrupt</t>
  </si>
  <si>
    <t>Induce an underrun condition on a TX BD that has IRQ = 1 enabled. PDF</t>
  </si>
  <si>
    <t>The TXE (Transmit Error) interrupt flag triggers inside the INT_SOURCE register concurrently with the transmission failure. PDF</t>
  </si>
  <si>
    <t>Exception signaling accuracy.</t>
  </si>
  <si>
    <t>Force continuous collisions that exceed the maximum limit (COLLCONF.MAXRET + 1). PDF</t>
  </si>
  <si>
    <t>Transmission aborts gracefully after reaching MAXRET iterations, flags the Limit Exceeded (RL) bit in the BD, and drops the frame. PDF</t>
  </si>
  <si>
    <t>Assert the MColl line outside the designated validation window set by COLLCONF. PDF</t>
  </si>
  <si>
    <t>Transmission drops instantly, the Late Collision (LC) flag is recorded in the descriptor, and no backoff retransmission occurs. PDF</t>
  </si>
  <si>
    <t>Clear MODER.EXDFREN = 0 and hold the carrier line active longer than the maximum limit. PDF+ 1</t>
  </si>
  <si>
    <t>Core drops the pending packet transmission and updates the descriptor with an excessive deferral error state. PDF</t>
  </si>
  <si>
    <t>Set MODER.EXDFREN = 1 and keep the carrier medium active indefinitely. PDF+ 1</t>
  </si>
  <si>
    <t>Transmit unit continuously defers and waits for the carrier medium to clear without aborting the descriptor or discarding data. PDF</t>
  </si>
  <si>
    <t>Deassert the Carrier Sense line (MCrS) during the middle of an active frame transmission. PDF</t>
  </si>
  <si>
    <t>Packet completes transmission, but the Carrier Sense Lost (CS) status flag is logged inside the respective Buffer Descriptor. PDF</t>
  </si>
  <si>
    <t>Turn on core loopback execution by setting MODER.LOOPBCK = 1. PDF+ 1</t>
  </si>
  <si>
    <t>Transmitted data sequences are internally switched straight into the receive logic; scoreboard confirms a direct bit-level match. PDF</t>
  </si>
  <si>
    <t>MIIM TP</t>
  </si>
  <si>
    <t>Test ID</t>
  </si>
  <si>
    <t>Description &amp; Objective</t>
  </si>
  <si>
    <t>UVM Stimulus &amp; Sequences</t>
  </si>
  <si>
    <t>Monitors &amp; Checkers</t>
  </si>
  <si>
    <t>Expected Pass Criteria</t>
  </si>
  <si>
    <t>tc_miim_clkdiv_all</t>
  </si>
  <si>
    <t>Test all 255 clock divider values in MIIMODER.CLKDIV.</t>
  </si>
  <si>
    <t>eth_miim_clkdiv_seq: Write to MIIMODER.CLKDIV 1–255, trigger MIICOMMAND.RSTAT=1 for each.</t>
  </si>
  <si>
    <t>mdio_monitor: Record rising edge timestamps to measure MDC frequency.</t>
  </si>
  <si>
    <t>MDC frequency exactly equals CLK/(2×CLKDIV) (± 1 cycle) for all 255 iterations.</t>
  </si>
  <si>
    <t>tc_miim_no_preamble</t>
  </si>
  <si>
    <t>Verify the 32-bit preamble is suppressed when MIIMODER.MIINOPRE = 1.</t>
  </si>
  <si>
    <t>Standard MIIM write/read sequences with MIINOPRE set to 1.</t>
  </si>
  <si>
    <t>mdio_monitor: Decode MDIO bit stream.</t>
  </si>
  <si>
    <t>32-bit preamble is completely absent on MDIO.</t>
  </si>
  <si>
    <t>tc_miim_write_phy_reg</t>
  </si>
  <si>
    <t>Write to PHY control register (addr 0x0) and verify MDIO frame format.</t>
  </si>
  <si>
    <t>eth_miim_write_seq: Program MIIADDRESS, MIITX_DATA, and assert MIICOMMAND.WCTRLDATA.</t>
  </si>
  <si>
    <t>mdio_monitor / eth_scoreboard: Capture MDC edges and decode frame.</t>
  </si>
  <si>
    <t>Frame matches: ST=01, OP=01, FIAD, RGAD, TA=10, DATA matches MIITX_DATA.</t>
  </si>
  <si>
    <t>tc_miim_read_phy_reg</t>
  </si>
  <si>
    <t>Read from PHY status register (addr 0x1).</t>
  </si>
  <si>
    <t>eth_miim_read_seq: Program MIIADDRESS, assert MIICOMMAND.RSTAT=1.</t>
  </si>
  <si>
    <t>mdio_agent: Drive MDIO during TA and supply data.</t>
  </si>
  <si>
    <t>PRSD field in MIIRX_DATA perfectly reflects PHY payload.</t>
  </si>
  <si>
    <t>tc_miim_read_nonwritable</t>
  </si>
  <si>
    <t>Attempt write to a read-only PHY register.</t>
  </si>
  <si>
    <t>eth_miim_write_seq: Target a known read-only PHY register.</t>
  </si>
  <si>
    <t>mdio_agent / eth_scoreboard: Monitor PHY internal memory state.</t>
  </si>
  <si>
    <t>PHY ignores the write transaction; state remains uncorrupted.</t>
  </si>
  <si>
    <t>tc_miim_reset_phy</t>
  </si>
  <si>
    <t>Assert PHY reset through MIIM write.</t>
  </si>
  <si>
    <t>eth_miim_write_seq: Write to PHY Control Register targeting the reset bit.</t>
  </si>
  <si>
    <t>mdio_agent: Monitor PHY response.</t>
  </si>
  <si>
    <t>PHY successfully processes and responds to the reset command.</t>
  </si>
  <si>
    <t>eth_miim_write_seq: Loop shifting 1 across all FIAD bits.</t>
  </si>
  <si>
    <t>eth_scoreboard: Verify decoded FIAD fields.</t>
  </si>
  <si>
    <t>eth_miim_write_seq: Loop shifting 1 across all RGAD bits.</t>
  </si>
  <si>
    <t>eth_scoreboard: Verify decoded RGAD fields.</t>
  </si>
  <si>
    <t>eth_miim_write_seq: Loop shifting 1 across MIITX_DATA.</t>
  </si>
  <si>
    <t>eth_scoreboard: Verify decoded DATA fields.</t>
  </si>
  <si>
    <t>Read from a non-existent PHY address.</t>
  </si>
  <si>
    <t>eth_miim_read_seq: Target an unused FIAD.</t>
  </si>
  <si>
    <t>mdio_monitor: Observe MDIO line behavior during TA.</t>
  </si>
  <si>
    <t>MDIO remains high-Z; MIIRX_DATA is undefined.</t>
  </si>
  <si>
    <t>tc_miim_wrong_write_correct_read</t>
  </si>
  <si>
    <t>Write to wrong PHY address, read from correct address.</t>
  </si>
  <si>
    <t>Sequential RAL writes to a wrong FIAD, followed by a read from a valid FIAD.</t>
  </si>
  <si>
    <t>eth_scoreboard: Compare read data against expected valid data.</t>
  </si>
  <si>
    <t>Valid PHY memory returns correct data and confirms no corruption occurred.</t>
  </si>
  <si>
    <t>tc_miim_busy_nvalid_write</t>
  </si>
  <si>
    <t>Verify BUSY and NVALID behavior during a write.</t>
  </si>
  <si>
    <t>eth_miim_write_seq: Trigger standard write.</t>
  </si>
  <si>
    <t>wb_slave_agent: RAL reads of MIISTATUS during active frame.</t>
  </si>
  <si>
    <t>BUSY asserts for the exact duration of the write and deasserts correctly at the end.</t>
  </si>
  <si>
    <t>tc_miim_busy_nvalid_read</t>
  </si>
  <si>
    <t>Verify BUSY and NVALID duration during a read.</t>
  </si>
  <si>
    <t>eth_miim_read_seq: Trigger standard read.</t>
  </si>
  <si>
    <t>wb_slave_agent: Continuous RAL polling of MIISTATUS.</t>
  </si>
  <si>
    <t>BUSY and NVALID track the exact duration of the read operation.</t>
  </si>
  <si>
    <t>tc_miim_busy_nvalid_scan</t>
  </si>
  <si>
    <t>Verify BUSY stays asserted during continuous scan.</t>
  </si>
  <si>
    <t>eth_miim_scan_seq: Assert MIICOMMAND.SCANSTAT=1.</t>
  </si>
  <si>
    <t>wb_slave_agent: RAL reads of MIISTATUS.</t>
  </si>
  <si>
    <t>BUSY stays asserted; NVALID clears only after the first full scan completes.</t>
  </si>
  <si>
    <t>Detect LINKFAIL assertion/deassertion during scan.</t>
  </si>
  <si>
    <t>eth_miim_scan_seq: Start scan. mdio_agent: Drive LINKFAIL=0, then LINKFAIL=1.</t>
  </si>
  <si>
    <t>wb_slave_agent: Read MIISTATUS.LINKFAIL via RAL.</t>
  </si>
  <si>
    <t>MIISTATUS.LINKFAIL precisely tracks the PHY bit[2] state.</t>
  </si>
  <si>
    <t>tc_miim_scan_linkfail_sliding</t>
  </si>
  <si>
    <t>Verify edge detection of a sliding LINKFAIL bit.</t>
  </si>
  <si>
    <t>eth_miim_scan_seq: Continuous scan with rapidly toggling PHY LINKFAIL.</t>
  </si>
  <si>
    <t>eth_scoreboard: Correlate MDIO frames with MIISTATUS updates.</t>
  </si>
  <si>
    <t>Hardware accurately catches the edge transitions of the link state during sliding.</t>
  </si>
  <si>
    <t>tc_miim_stop_scan_after_read</t>
  </si>
  <si>
    <t>eth_miim_stop_scan_seq: Start scan, wait N MDC edges (0 to frame_len), clear SCANSTAT.</t>
  </si>
  <si>
    <t>mdio_monitor: Verify no MDC edges appear 10 CLK cycles post-stop.</t>
  </si>
  <si>
    <t>BUSY deasserts properly; MDIO high-Z within 2 MDC cycles; partial frames abort cleanly.</t>
  </si>
  <si>
    <t>tc_miim_stop_scan_after_write</t>
  </si>
  <si>
    <t>Stop scan immediately after injected write request.</t>
  </si>
  <si>
    <t>eth_miim_stop_scan_seq: Assert WCTRLDATA and SCANSTAT simultaneously, then slide-clear SCANSTAT.</t>
  </si>
  <si>
    <t>mdio_monitor / eth_scoreboard: Decode frame types and completion status.</t>
  </si>
  <si>
    <t>Exact write frame completes bit-perfectly (DATA=0x2100). Scan does not restart. BUSY deasserts normally.</t>
  </si>
  <si>
    <t>tc_miim_stop_scan_after_scan</t>
  </si>
  <si>
    <t>Stop scan at precise boundaries between iterations.</t>
  </si>
  <si>
    <t>eth_miim_stop_scan_seq: Slide stop window -5 to +5 MDC cycles around frame boundaries.</t>
  </si>
  <si>
    <t>mdio_monitor: Count total complete frames before MDC halts.</t>
  </si>
  <si>
    <t>Stops ≤0 offset yield N frames; &gt;0 offset yield N+1 frames. No partial frames are transmitted.</t>
  </si>
  <si>
    <t>Done</t>
  </si>
  <si>
    <t xml:space="preserve">Transmit an oversized frame with MODER.HUGEN = 0. </t>
  </si>
  <si>
    <t>m_wr_cfg_cov</t>
  </si>
  <si>
    <t xml:space="preserve">Transmit a massive frame exceeding maxfl with MODER.HUGEN =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</si>
</sst>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Calibri"/>
      <family val="2"/>
      <charset val="1"/>
    </font>
    <font>
      <sz val="11"/>
      <color theme="0"/>
      <name val="Calibri"/>
      <family val="2"/>
      <charset val="1"/>
    </font>
    <font>
      <sz val="14"/>
      <color theme="1"/>
      <name val="Aptos"/>
      <charset val="1"/>
    </font>
    <font>
      <sz val="22"/>
      <color theme="1"/>
      <name val="Aptos"/>
      <charset val="1"/>
    </font>
    <font>
      <sz val="20"/>
      <color theme="1"/>
      <name val="Aptos"/>
      <charset val="1"/>
    </font>
    <font>
      <b/>
      <sz val="18"/>
      <color theme="1"/>
      <name val="Calibri"/>
      <charset val="1"/>
    </font>
    <font>
      <b/>
      <sz val="22"/>
      <color theme="1"/>
      <name val="Calibri"/>
      <charset val="1"/>
    </font>
    <font>
      <b/>
      <sz val="20"/>
      <color theme="1"/>
      <name val="Calibri"/>
      <charset val="1"/>
    </font>
    <font>
      <sz val="20"/>
      <color theme="1"/>
      <name val="Calibri"/>
      <charset val="1"/>
    </font>
    <font>
      <sz val="18"/>
      <color theme="1"/>
      <name val="Calibri"/>
      <charset val="1"/>
    </font>
    <font>
      <sz val="72"/>
      <color theme="1"/>
      <name val="Aptos"/>
      <charset val="1"/>
    </font>
    <font>
      <sz val="48"/>
      <color theme="1"/>
      <name val="Aptos"/>
      <charset val="1"/>
    </font>
    <font>
      <sz val="28"/>
      <color theme="1"/>
      <name val="Aptos"/>
      <charset val="1"/>
    </font>
    <font>
      <sz val="20"/>
      <color theme="1"/>
      <name val="Calibri"/>
      <family val="2"/>
      <charset val="1"/>
    </font>
    <font>
      <sz val="20"/>
      <name val="Calibri"/>
      <charset val="1"/>
    </font>
    <font>
      <sz val="20"/>
      <color rgb="FF000000"/>
      <name val="Aptos"/>
      <charset val="1"/>
    </font>
    <font>
      <sz val="20"/>
      <color theme="1"/>
      <name val="Aptos"/>
    </font>
    <font>
      <sz val="28"/>
      <color rgb="FF000000"/>
      <name val="Aptos"/>
      <charset val="1"/>
    </font>
    <font>
      <sz val="22"/>
      <color rgb="FF000000"/>
      <name val="Aptos"/>
      <charset val="1"/>
    </font>
    <font>
      <sz val="72"/>
      <color theme="1"/>
      <name val="Calibri"/>
      <family val="2"/>
      <charset val="1"/>
    </font>
    <font>
      <sz val="72"/>
      <color theme="1"/>
      <name val="Calibri"/>
      <charset val="1"/>
    </font>
    <font>
      <sz val="72"/>
      <name val="Arial"/>
      <family val="2"/>
      <charset val="1"/>
    </font>
    <font>
      <sz val="48"/>
      <name val="Arial"/>
      <family val="2"/>
      <charset val="1"/>
    </font>
    <font>
      <sz val="14"/>
      <name val="Arial"/>
      <family val="2"/>
      <charset val="1"/>
    </font>
    <font>
      <sz val="22"/>
      <name val="Arial"/>
      <family val="2"/>
      <charset val="1"/>
    </font>
    <font>
      <sz val="20"/>
      <name val="Aptos"/>
      <family val="2"/>
      <charset val="1"/>
    </font>
    <font>
      <sz val="22"/>
      <color theme="1"/>
      <name val="Calibri"/>
      <family val="2"/>
      <charset val="1"/>
    </font>
    <font>
      <sz val="26"/>
      <color theme="1"/>
      <name val="Calibri"/>
      <family val="2"/>
      <charset val="1"/>
    </font>
    <font>
      <sz val="11"/>
      <color theme="1"/>
      <name val="Calibri"/>
      <family val="2"/>
      <charset val="1"/>
    </font>
    <font>
      <sz val="20"/>
      <color theme="1"/>
      <name val="Aptos"/>
      <family val="2"/>
    </font>
  </fonts>
  <fills count="10">
    <fill>
      <patternFill patternType="none"/>
    </fill>
    <fill>
      <patternFill patternType="gray125"/>
    </fill>
    <fill>
      <patternFill patternType="solid">
        <fgColor rgb="FFCFE2F3"/>
        <bgColor rgb="FFE2E8F0"/>
      </patternFill>
    </fill>
    <fill>
      <patternFill patternType="solid">
        <fgColor rgb="FFEA7500"/>
        <bgColor rgb="FFFF9900"/>
      </patternFill>
    </fill>
    <fill>
      <patternFill patternType="solid">
        <fgColor rgb="FF000000"/>
        <bgColor rgb="FF003300"/>
      </patternFill>
    </fill>
    <fill>
      <patternFill patternType="solid">
        <fgColor theme="3" tint="0.59987182226020086"/>
        <bgColor rgb="FFCEADE7"/>
      </patternFill>
    </fill>
    <fill>
      <patternFill patternType="solid">
        <fgColor rgb="FFCEADE7"/>
        <bgColor rgb="FFCEAEE7"/>
      </patternFill>
    </fill>
    <fill>
      <patternFill patternType="solid">
        <fgColor rgb="FFE2E8F0"/>
        <bgColor rgb="FFCFE2F3"/>
      </patternFill>
    </fill>
    <fill>
      <patternFill patternType="solid">
        <fgColor rgb="FFAFD095"/>
        <bgColor rgb="FFC6EFCE"/>
      </patternFill>
    </fill>
    <fill>
      <patternFill patternType="solid">
        <fgColor rgb="FF729FCF"/>
        <bgColor rgb="FF969696"/>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14" fontId="28" fillId="0" borderId="0" applyBorder="0">
      <alignment horizontal="center" vertical="center"/>
    </xf>
    <xf numFmtId="0" fontId="1" fillId="0" borderId="0"/>
  </cellStyleXfs>
  <cellXfs count="99">
    <xf numFmtId="0" fontId="0" fillId="0" borderId="0" xfId="0"/>
    <xf numFmtId="0" fontId="2" fillId="0" borderId="1" xfId="0" applyFont="1" applyBorder="1" applyAlignment="1" applyProtection="1">
      <alignment horizontal="center" vertical="center" textRotation="255"/>
    </xf>
    <xf numFmtId="0" fontId="2" fillId="0" borderId="1" xfId="0" applyFont="1" applyBorder="1" applyAlignment="1" applyProtection="1">
      <alignment horizontal="center" vertical="center"/>
    </xf>
    <xf numFmtId="0" fontId="3" fillId="0" borderId="1" xfId="0" applyFont="1" applyBorder="1" applyAlignment="1" applyProtection="1">
      <alignment horizontal="center"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1" xfId="0" applyFont="1" applyBorder="1" applyAlignment="1" applyProtection="1">
      <alignment horizontal="justify" vertical="center"/>
    </xf>
    <xf numFmtId="0" fontId="5" fillId="2" borderId="1" xfId="0" applyFont="1" applyFill="1" applyBorder="1" applyAlignment="1" applyProtection="1">
      <alignment horizontal="center" vertical="center" wrapText="1"/>
    </xf>
    <xf numFmtId="0" fontId="6" fillId="2" borderId="1" xfId="0" applyFont="1" applyFill="1" applyBorder="1" applyAlignment="1" applyProtection="1">
      <alignment horizontal="center" vertical="center" wrapText="1"/>
    </xf>
    <xf numFmtId="0" fontId="7" fillId="2" borderId="1" xfId="0" applyFont="1" applyFill="1" applyBorder="1" applyAlignment="1" applyProtection="1">
      <alignment horizontal="center" vertical="center" wrapText="1"/>
    </xf>
    <xf numFmtId="0" fontId="8" fillId="3" borderId="1" xfId="0" applyFont="1" applyFill="1" applyBorder="1" applyAlignment="1" applyProtection="1">
      <alignment horizontal="center" vertical="center"/>
    </xf>
    <xf numFmtId="0" fontId="9" fillId="0" borderId="1" xfId="0" applyFont="1" applyBorder="1" applyAlignment="1" applyProtection="1"/>
    <xf numFmtId="0" fontId="10" fillId="0" borderId="1" xfId="0" applyFont="1" applyBorder="1" applyAlignment="1" applyProtection="1">
      <alignment horizontal="center" vertical="center" textRotation="255"/>
    </xf>
    <xf numFmtId="0" fontId="11" fillId="0" borderId="1" xfId="0" applyFont="1" applyBorder="1" applyAlignment="1" applyProtection="1">
      <alignment horizontal="center" vertical="center" textRotation="90"/>
    </xf>
    <xf numFmtId="0" fontId="12" fillId="0" borderId="1" xfId="0" applyFont="1" applyBorder="1" applyAlignment="1" applyProtection="1">
      <alignment horizontal="center" vertical="center"/>
    </xf>
    <xf numFmtId="0" fontId="13" fillId="0" borderId="1" xfId="0" applyFont="1" applyBorder="1" applyAlignment="1" applyProtection="1">
      <alignment horizontal="center" vertical="center"/>
    </xf>
    <xf numFmtId="0" fontId="13" fillId="0" borderId="1" xfId="0" applyFont="1" applyBorder="1" applyAlignment="1" applyProtection="1">
      <alignment horizontal="justify" vertical="center"/>
    </xf>
    <xf numFmtId="0" fontId="13" fillId="0" borderId="1" xfId="0"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14" fillId="0" borderId="1" xfId="0" applyFont="1" applyBorder="1" applyAlignment="1" applyProtection="1">
      <alignment horizontal="center" vertical="center" wrapText="1"/>
    </xf>
    <xf numFmtId="0" fontId="8" fillId="0" borderId="1" xfId="0" applyFont="1" applyBorder="1" applyAlignment="1" applyProtection="1">
      <alignment horizontal="center" vertical="center"/>
    </xf>
    <xf numFmtId="0" fontId="5" fillId="0" borderId="1" xfId="0" applyFont="1" applyBorder="1" applyAlignment="1" applyProtection="1">
      <alignment horizontal="center" vertical="center" wrapText="1"/>
    </xf>
    <xf numFmtId="0" fontId="15" fillId="0" borderId="1" xfId="0" applyFont="1" applyBorder="1" applyAlignment="1" applyProtection="1">
      <alignment horizontal="center" vertical="center" wrapText="1"/>
    </xf>
    <xf numFmtId="0" fontId="4" fillId="0" borderId="1" xfId="0" applyFont="1" applyBorder="1" applyAlignment="1">
      <alignment horizontal="center" wrapText="1"/>
    </xf>
    <xf numFmtId="0" fontId="2" fillId="0" borderId="1" xfId="0" applyFont="1" applyBorder="1" applyAlignment="1" applyProtection="1">
      <alignment horizontal="center" vertical="center" wrapText="1"/>
    </xf>
    <xf numFmtId="0" fontId="10" fillId="4" borderId="1" xfId="0" applyFont="1" applyFill="1" applyBorder="1" applyAlignment="1" applyProtection="1">
      <alignment horizontal="center" vertical="center" textRotation="255"/>
    </xf>
    <xf numFmtId="0" fontId="11" fillId="4" borderId="1" xfId="0" applyFont="1" applyFill="1" applyBorder="1" applyAlignment="1" applyProtection="1">
      <alignment horizontal="center" vertical="center" textRotation="90"/>
    </xf>
    <xf numFmtId="0" fontId="12" fillId="4" borderId="1" xfId="0" applyFont="1" applyFill="1" applyBorder="1" applyAlignment="1" applyProtection="1">
      <alignment horizontal="center" vertical="center"/>
    </xf>
    <xf numFmtId="0" fontId="3" fillId="4" borderId="1" xfId="0" applyFont="1" applyFill="1" applyBorder="1" applyAlignment="1" applyProtection="1">
      <alignment horizontal="center" vertical="center"/>
    </xf>
    <xf numFmtId="0" fontId="4" fillId="4" borderId="1" xfId="0" applyFont="1" applyFill="1" applyBorder="1" applyAlignment="1" applyProtection="1">
      <alignment horizontal="center" vertical="center"/>
    </xf>
    <xf numFmtId="0" fontId="4" fillId="4" borderId="1" xfId="0" applyFont="1" applyFill="1" applyBorder="1" applyAlignment="1" applyProtection="1">
      <alignment horizontal="center" vertical="center" wrapText="1"/>
    </xf>
    <xf numFmtId="0" fontId="13" fillId="4" borderId="1" xfId="0" applyFont="1" applyFill="1" applyBorder="1" applyAlignment="1" applyProtection="1">
      <alignment horizontal="center" vertical="center"/>
    </xf>
    <xf numFmtId="0" fontId="4" fillId="4" borderId="1" xfId="0" applyFont="1" applyFill="1" applyBorder="1" applyAlignment="1" applyProtection="1">
      <alignment horizontal="justify" vertical="center"/>
    </xf>
    <xf numFmtId="0" fontId="2" fillId="4" borderId="1" xfId="0" applyFont="1" applyFill="1" applyBorder="1" applyAlignment="1" applyProtection="1">
      <alignment horizontal="center" vertical="center"/>
    </xf>
    <xf numFmtId="0" fontId="4" fillId="0" borderId="1" xfId="0" applyFont="1" applyBorder="1" applyAlignment="1">
      <alignment horizontal="center"/>
    </xf>
    <xf numFmtId="0" fontId="12" fillId="0" borderId="0" xfId="0" applyFont="1" applyAlignment="1">
      <alignment horizontal="center"/>
    </xf>
    <xf numFmtId="0" fontId="3" fillId="0" borderId="1" xfId="0" applyFont="1" applyBorder="1" applyAlignment="1">
      <alignment horizontal="center" wrapText="1"/>
    </xf>
    <xf numFmtId="0" fontId="17" fillId="0" borderId="1" xfId="0" applyFont="1" applyBorder="1" applyAlignment="1" applyProtection="1">
      <alignment horizontal="center" vertical="center" wrapText="1"/>
    </xf>
    <xf numFmtId="0" fontId="18" fillId="0" borderId="1" xfId="0" applyFont="1" applyBorder="1" applyAlignment="1" applyProtection="1">
      <alignment horizontal="center" vertical="center" wrapText="1"/>
    </xf>
    <xf numFmtId="0" fontId="19" fillId="5" borderId="1" xfId="0" applyFont="1" applyFill="1" applyBorder="1" applyAlignment="1" applyProtection="1">
      <alignment horizontal="center" vertical="center"/>
    </xf>
    <xf numFmtId="0" fontId="11" fillId="5" borderId="1" xfId="0" applyFont="1" applyFill="1" applyBorder="1" applyAlignment="1" applyProtection="1">
      <alignment horizontal="center" vertical="center" textRotation="90"/>
    </xf>
    <xf numFmtId="0" fontId="4" fillId="5" borderId="1" xfId="0" applyFont="1" applyFill="1" applyBorder="1" applyAlignment="1" applyProtection="1">
      <alignment horizontal="center" vertical="center"/>
    </xf>
    <xf numFmtId="0" fontId="3" fillId="5" borderId="1" xfId="0" applyFont="1" applyFill="1" applyBorder="1" applyAlignment="1" applyProtection="1">
      <alignment horizontal="center" vertical="center"/>
    </xf>
    <xf numFmtId="0" fontId="15" fillId="5" borderId="1" xfId="0" applyFont="1" applyFill="1" applyBorder="1" applyAlignment="1" applyProtection="1">
      <alignment horizontal="center" vertical="center" wrapText="1"/>
    </xf>
    <xf numFmtId="0" fontId="4" fillId="5" borderId="1" xfId="0" applyFont="1" applyFill="1" applyBorder="1" applyAlignment="1" applyProtection="1">
      <alignment horizontal="justify" vertical="center"/>
    </xf>
    <xf numFmtId="0" fontId="20" fillId="5" borderId="1" xfId="0" applyFont="1" applyFill="1" applyBorder="1" applyAlignment="1" applyProtection="1">
      <alignment horizontal="center" vertical="center" textRotation="255"/>
    </xf>
    <xf numFmtId="0" fontId="2" fillId="5" borderId="1" xfId="0" applyFont="1" applyFill="1" applyBorder="1" applyAlignment="1" applyProtection="1">
      <alignment horizontal="center" vertical="center"/>
    </xf>
    <xf numFmtId="0" fontId="4" fillId="6" borderId="1" xfId="0" applyFont="1" applyFill="1" applyBorder="1" applyAlignment="1" applyProtection="1">
      <alignment horizontal="center" vertical="center"/>
    </xf>
    <xf numFmtId="0" fontId="4" fillId="5" borderId="1" xfId="0" applyFont="1" applyFill="1" applyBorder="1" applyAlignment="1" applyProtection="1">
      <alignment horizontal="center" vertical="center" wrapText="1"/>
    </xf>
    <xf numFmtId="0" fontId="2" fillId="6" borderId="1" xfId="0" applyFont="1" applyFill="1" applyBorder="1" applyAlignment="1" applyProtection="1">
      <alignment horizontal="center" vertical="center" textRotation="255"/>
    </xf>
    <xf numFmtId="0" fontId="23" fillId="0" borderId="1" xfId="0" applyFont="1" applyBorder="1" applyAlignment="1" applyProtection="1">
      <alignment horizontal="center" vertical="center" wrapText="1"/>
    </xf>
    <xf numFmtId="0" fontId="24" fillId="0" borderId="1" xfId="0" applyFont="1" applyBorder="1" applyAlignment="1" applyProtection="1">
      <alignment horizontal="center" vertical="center" wrapText="1"/>
    </xf>
    <xf numFmtId="0" fontId="25" fillId="0" borderId="1" xfId="0" applyFont="1" applyBorder="1" applyAlignment="1" applyProtection="1">
      <alignment horizontal="center" vertical="center"/>
    </xf>
    <xf numFmtId="0" fontId="25" fillId="0" borderId="1" xfId="0" applyFont="1" applyBorder="1" applyAlignment="1" applyProtection="1">
      <alignment horizontal="center" vertical="center" wrapText="1"/>
    </xf>
    <xf numFmtId="0" fontId="4" fillId="7" borderId="1" xfId="0" applyFont="1" applyFill="1" applyBorder="1" applyAlignment="1" applyProtection="1">
      <alignment horizontal="center" vertical="top" wrapText="1"/>
    </xf>
    <xf numFmtId="0" fontId="2" fillId="0" borderId="1" xfId="0" applyFont="1" applyBorder="1" applyAlignment="1" applyProtection="1">
      <alignment vertical="top" wrapText="1"/>
    </xf>
    <xf numFmtId="0" fontId="4" fillId="0" borderId="1" xfId="0" applyFont="1" applyBorder="1" applyAlignment="1" applyProtection="1">
      <alignment horizontal="center" vertical="top" wrapText="1"/>
    </xf>
    <xf numFmtId="0" fontId="27" fillId="0" borderId="1" xfId="0" applyFont="1" applyBorder="1" applyAlignment="1" applyProtection="1">
      <alignment horizontal="center" vertical="center" wrapText="1"/>
    </xf>
    <xf numFmtId="0" fontId="26" fillId="0" borderId="1" xfId="0" applyFont="1" applyBorder="1" applyAlignment="1" applyProtection="1">
      <alignment horizontal="center" vertical="center" wrapText="1"/>
    </xf>
    <xf numFmtId="0" fontId="0" fillId="0" borderId="0" xfId="0" applyAlignment="1">
      <alignment horizontal="center"/>
    </xf>
    <xf numFmtId="0" fontId="0" fillId="8" borderId="0" xfId="0" applyFont="1" applyFill="1" applyAlignment="1">
      <alignment horizontal="center" wrapText="1"/>
    </xf>
    <xf numFmtId="0" fontId="0" fillId="0" borderId="0" xfId="0" applyFont="1"/>
    <xf numFmtId="0" fontId="0" fillId="0" borderId="0" xfId="0"/>
    <xf numFmtId="0" fontId="0" fillId="0" borderId="0" xfId="0" applyFont="1" applyAlignment="1">
      <alignment horizontal="center" wrapText="1"/>
    </xf>
    <xf numFmtId="0" fontId="0" fillId="0" borderId="0" xfId="0" applyFont="1"/>
    <xf numFmtId="0" fontId="0" fillId="0" borderId="0" xfId="0" applyFont="1" applyAlignment="1">
      <alignment horizontal="center"/>
    </xf>
    <xf numFmtId="0" fontId="0" fillId="4" borderId="0" xfId="0" applyFill="1" applyAlignment="1">
      <alignment horizontal="center"/>
    </xf>
    <xf numFmtId="0" fontId="0" fillId="9" borderId="0" xfId="0" applyFill="1"/>
    <xf numFmtId="0" fontId="0" fillId="8" borderId="0" xfId="0" applyFont="1" applyFill="1"/>
    <xf numFmtId="0" fontId="0" fillId="8" borderId="0" xfId="0" applyFill="1"/>
    <xf numFmtId="0" fontId="0" fillId="4" borderId="0" xfId="0" applyFill="1"/>
    <xf numFmtId="0" fontId="0" fillId="8" borderId="0" xfId="0" applyFill="1" applyAlignment="1">
      <alignment horizontal="center"/>
    </xf>
    <xf numFmtId="0" fontId="29" fillId="0" borderId="1" xfId="0" applyFont="1" applyBorder="1" applyAlignment="1">
      <alignment horizontal="center"/>
    </xf>
    <xf numFmtId="0" fontId="2" fillId="0" borderId="1" xfId="0" applyFont="1" applyBorder="1" applyAlignment="1" applyProtection="1">
      <alignment horizontal="center" vertical="center"/>
    </xf>
    <xf numFmtId="0" fontId="4" fillId="0" borderId="1" xfId="0" applyFont="1" applyBorder="1" applyAlignment="1" applyProtection="1">
      <alignment horizontal="center" vertical="center"/>
    </xf>
    <xf numFmtId="0" fontId="12" fillId="0" borderId="1" xfId="0" applyFont="1" applyBorder="1" applyAlignment="1" applyProtection="1">
      <alignment horizontal="center" vertical="center"/>
    </xf>
    <xf numFmtId="0" fontId="4" fillId="0" borderId="1" xfId="0" applyFont="1" applyBorder="1" applyAlignment="1">
      <alignment horizontal="center" vertical="center" wrapText="1"/>
    </xf>
    <xf numFmtId="0" fontId="13" fillId="0" borderId="1" xfId="0" applyFont="1" applyBorder="1" applyAlignment="1" applyProtection="1">
      <alignment horizontal="center" vertical="center" wrapText="1"/>
    </xf>
    <xf numFmtId="0" fontId="26" fillId="0" borderId="1" xfId="0" applyFont="1" applyBorder="1" applyAlignment="1" applyProtection="1">
      <alignment horizontal="center" vertical="center" wrapText="1"/>
    </xf>
    <xf numFmtId="0" fontId="2" fillId="6" borderId="1" xfId="0" applyFont="1" applyFill="1" applyBorder="1" applyAlignment="1" applyProtection="1">
      <alignment horizontal="center" vertical="center" textRotation="255"/>
    </xf>
    <xf numFmtId="0" fontId="19" fillId="0" borderId="1" xfId="0" applyFont="1" applyBorder="1" applyAlignment="1" applyProtection="1">
      <alignment horizontal="center" vertical="center" wrapText="1"/>
    </xf>
    <xf numFmtId="0" fontId="11" fillId="0" borderId="1" xfId="0" applyFont="1" applyBorder="1" applyAlignment="1" applyProtection="1">
      <alignment horizontal="center" vertical="center" textRotation="90" wrapText="1"/>
    </xf>
    <xf numFmtId="0" fontId="27" fillId="0" borderId="1" xfId="0" applyFont="1" applyBorder="1" applyAlignment="1" applyProtection="1">
      <alignment horizontal="center" vertical="center" wrapText="1"/>
    </xf>
    <xf numFmtId="0" fontId="24" fillId="0" borderId="1" xfId="0" applyFont="1" applyBorder="1" applyAlignment="1" applyProtection="1">
      <alignment horizontal="center" vertical="center" wrapText="1"/>
    </xf>
    <xf numFmtId="0" fontId="23" fillId="0" borderId="1" xfId="0" applyFont="1" applyBorder="1" applyAlignment="1" applyProtection="1">
      <alignment horizontal="center" vertical="center" wrapText="1"/>
    </xf>
    <xf numFmtId="0" fontId="19" fillId="0" borderId="1" xfId="0" applyFont="1" applyBorder="1" applyAlignment="1" applyProtection="1">
      <alignment horizontal="center" vertical="center"/>
    </xf>
    <xf numFmtId="0" fontId="11" fillId="0" borderId="1" xfId="0" applyFont="1" applyBorder="1" applyAlignment="1" applyProtection="1">
      <alignment horizontal="center" vertical="center" textRotation="90"/>
    </xf>
    <xf numFmtId="0" fontId="13" fillId="0" borderId="1" xfId="0" applyFont="1" applyBorder="1" applyAlignment="1" applyProtection="1">
      <alignment horizontal="center" vertical="center"/>
    </xf>
    <xf numFmtId="0" fontId="26" fillId="0" borderId="1" xfId="0" applyFont="1" applyBorder="1" applyAlignment="1" applyProtection="1">
      <alignment horizontal="center" vertical="center"/>
    </xf>
    <xf numFmtId="0" fontId="21" fillId="0" borderId="1" xfId="0" applyFont="1" applyBorder="1" applyAlignment="1" applyProtection="1">
      <alignment horizontal="center" vertical="center" textRotation="255"/>
    </xf>
    <xf numFmtId="0" fontId="22" fillId="0" borderId="1" xfId="0" applyFont="1" applyBorder="1" applyAlignment="1" applyProtection="1">
      <alignment horizontal="center" vertical="center" textRotation="90"/>
    </xf>
    <xf numFmtId="0" fontId="20" fillId="0" borderId="1" xfId="0" applyFont="1" applyBorder="1" applyAlignment="1" applyProtection="1">
      <alignment horizontal="center" vertical="center" textRotation="255"/>
    </xf>
    <xf numFmtId="0" fontId="2" fillId="0" borderId="1" xfId="0" applyFont="1" applyBorder="1" applyAlignment="1" applyProtection="1">
      <alignment horizontal="center" vertical="center"/>
    </xf>
    <xf numFmtId="0" fontId="3" fillId="0" borderId="1" xfId="0" applyFont="1" applyBorder="1" applyAlignment="1" applyProtection="1">
      <alignment horizontal="center" vertical="center"/>
    </xf>
    <xf numFmtId="0" fontId="4" fillId="0" borderId="1" xfId="0" applyFont="1" applyBorder="1" applyAlignment="1" applyProtection="1">
      <alignment horizontal="center" vertical="center"/>
    </xf>
    <xf numFmtId="0" fontId="10" fillId="0" borderId="1" xfId="0" applyFont="1" applyBorder="1" applyAlignment="1" applyProtection="1">
      <alignment horizontal="center" vertical="center" textRotation="255"/>
    </xf>
    <xf numFmtId="0" fontId="12" fillId="0" borderId="1" xfId="0" applyFont="1" applyBorder="1" applyAlignment="1" applyProtection="1">
      <alignment horizontal="center" vertical="center"/>
    </xf>
    <xf numFmtId="0" fontId="3" fillId="0" borderId="1" xfId="0" applyFont="1" applyBorder="1" applyAlignment="1">
      <alignment horizontal="center" vertical="center" wrapText="1"/>
    </xf>
    <xf numFmtId="0" fontId="0" fillId="9" borderId="0" xfId="0" applyFont="1" applyFill="1" applyAlignment="1">
      <alignment horizontal="center" vertical="center"/>
    </xf>
  </cellXfs>
  <cellStyles count="3">
    <cellStyle name="Date" xfId="1"/>
    <cellStyle name="Normal" xfId="0" builtinId="0"/>
    <cellStyle name="zHiddenText" xfId="2"/>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0000"/>
      </font>
      <fill>
        <patternFill>
          <bgColor theme="0" tint="-0.149998474074526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0000"/>
      </font>
      <fill>
        <patternFill>
          <bgColor theme="0" tint="-0.1499984740745262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EAEE7"/>
      <rgbColor rgb="FF808080"/>
      <rgbColor rgb="FF729FCF"/>
      <rgbColor rgb="FF993366"/>
      <rgbColor rgb="FFFFFFCC"/>
      <rgbColor rgb="FFE2E8F0"/>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D9D9D9"/>
      <rgbColor rgb="FFC6EFCE"/>
      <rgbColor rgb="FFFFEB9C"/>
      <rgbColor rgb="FFAFD095"/>
      <rgbColor rgb="FFFF99CC"/>
      <rgbColor rgb="FFCEADE7"/>
      <rgbColor rgb="FFFFC7CE"/>
      <rgbColor rgb="FF4868E5"/>
      <rgbColor rgb="FF33CCCC"/>
      <rgbColor rgb="FF99CC00"/>
      <rgbColor rgb="FFFFCC00"/>
      <rgbColor rgb="FFFF9900"/>
      <rgbColor rgb="FFEA7500"/>
      <rgbColor rgb="FF66669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Attitude">
  <a:themeElements>
    <a:clrScheme name="Custom 60">
      <a:dk1>
        <a:srgbClr val="000000"/>
      </a:dk1>
      <a:lt1>
        <a:srgbClr val="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868E5"/>
  </sheetPr>
  <dimension ref="A1:XFD1048554"/>
  <sheetViews>
    <sheetView tabSelected="1" topLeftCell="A61" zoomScale="39" zoomScaleNormal="39" workbookViewId="0">
      <selection activeCell="J25" sqref="J25"/>
    </sheetView>
  </sheetViews>
  <sheetFormatPr defaultColWidth="37.6640625" defaultRowHeight="28.8" x14ac:dyDescent="0.3"/>
  <cols>
    <col min="1" max="1" width="21.5546875" style="1" customWidth="1"/>
    <col min="2" max="2" width="21.5546875" style="2" customWidth="1"/>
    <col min="3" max="3" width="17" style="2" customWidth="1"/>
    <col min="4" max="4" width="72.33203125" style="3" customWidth="1"/>
    <col min="5" max="5" width="30.5546875" style="4" customWidth="1"/>
    <col min="6" max="6" width="78.5546875" style="4" customWidth="1"/>
    <col min="7" max="7" width="173.88671875" style="5" customWidth="1"/>
    <col min="8" max="8" width="268.109375" style="4" customWidth="1"/>
    <col min="9" max="9" width="146.44140625" style="4" customWidth="1"/>
    <col min="10" max="10" width="47.5546875" style="6" customWidth="1"/>
    <col min="11" max="11" width="37.6640625" style="6"/>
    <col min="12" max="12" width="140.5546875" style="4" customWidth="1"/>
    <col min="13" max="13" width="62.88671875" style="4" customWidth="1"/>
    <col min="14" max="15" width="37.6640625" style="2"/>
    <col min="16" max="16" width="140.5546875" customWidth="1"/>
    <col min="17" max="17" width="62.88671875" customWidth="1"/>
    <col min="18" max="21" width="37.6640625" style="2"/>
    <col min="22" max="22" width="140.5546875" customWidth="1"/>
    <col min="23" max="23" width="62.88671875" customWidth="1"/>
    <col min="24" max="16384" width="37.6640625" style="2"/>
  </cols>
  <sheetData>
    <row r="1" spans="1:23 16384:16384" s="11" customFormat="1" ht="57" customHeight="1" x14ac:dyDescent="0.45">
      <c r="A1" s="7" t="s">
        <v>0</v>
      </c>
      <c r="B1" s="7" t="s">
        <v>1</v>
      </c>
      <c r="C1" s="7" t="s">
        <v>2</v>
      </c>
      <c r="D1" s="8" t="s">
        <v>3</v>
      </c>
      <c r="E1" s="7" t="s">
        <v>4</v>
      </c>
      <c r="F1" s="7" t="s">
        <v>5</v>
      </c>
      <c r="G1" s="7" t="s">
        <v>6</v>
      </c>
      <c r="H1" s="9" t="s">
        <v>7</v>
      </c>
      <c r="I1" s="10" t="s">
        <v>8</v>
      </c>
      <c r="J1" s="7" t="s">
        <v>9</v>
      </c>
      <c r="K1" s="7" t="s">
        <v>10</v>
      </c>
      <c r="L1" s="9" t="s">
        <v>11</v>
      </c>
      <c r="M1" s="7" t="s">
        <v>12</v>
      </c>
      <c r="P1"/>
      <c r="Q1"/>
      <c r="V1"/>
      <c r="W1"/>
    </row>
    <row r="2" spans="1:23 16384:16384" ht="145.5" customHeight="1" x14ac:dyDescent="0.3">
      <c r="A2" s="95">
        <v>1</v>
      </c>
      <c r="B2" s="86" t="s">
        <v>13</v>
      </c>
      <c r="C2" s="14">
        <v>1</v>
      </c>
      <c r="D2" s="3" t="s">
        <v>14</v>
      </c>
      <c r="E2" s="4">
        <f t="shared" ref="E2:E16" si="0">ROW()-1</f>
        <v>1</v>
      </c>
      <c r="F2" s="4" t="s">
        <v>15</v>
      </c>
      <c r="G2" s="5" t="s">
        <v>16</v>
      </c>
      <c r="H2" s="15" t="s">
        <v>17</v>
      </c>
      <c r="J2" s="16"/>
      <c r="K2" s="16"/>
      <c r="L2" s="15" t="s">
        <v>18</v>
      </c>
      <c r="M2" s="4" t="s">
        <v>19</v>
      </c>
    </row>
    <row r="3" spans="1:23 16384:16384" ht="162.30000000000001" customHeight="1" x14ac:dyDescent="0.3">
      <c r="A3" s="95"/>
      <c r="B3" s="86"/>
      <c r="C3" s="96">
        <v>2</v>
      </c>
      <c r="D3" s="93" t="s">
        <v>20</v>
      </c>
      <c r="E3" s="4">
        <f t="shared" si="0"/>
        <v>2</v>
      </c>
      <c r="F3" s="4" t="s">
        <v>21</v>
      </c>
      <c r="G3" s="5" t="s">
        <v>22</v>
      </c>
      <c r="H3" s="17" t="s">
        <v>23</v>
      </c>
      <c r="J3" s="16"/>
      <c r="K3" s="16"/>
      <c r="L3" s="15" t="s">
        <v>18</v>
      </c>
      <c r="M3" s="4" t="s">
        <v>19</v>
      </c>
    </row>
    <row r="4" spans="1:23 16384:16384" ht="132.44999999999999" customHeight="1" x14ac:dyDescent="0.3">
      <c r="A4" s="95"/>
      <c r="B4" s="86"/>
      <c r="C4" s="96">
        <v>3</v>
      </c>
      <c r="D4" s="93"/>
      <c r="E4" s="4">
        <f t="shared" si="0"/>
        <v>3</v>
      </c>
      <c r="F4" s="4" t="s">
        <v>24</v>
      </c>
      <c r="G4" s="5" t="s">
        <v>25</v>
      </c>
      <c r="H4" s="17" t="s">
        <v>26</v>
      </c>
      <c r="J4" s="16"/>
      <c r="K4" s="16"/>
      <c r="L4" s="15" t="s">
        <v>27</v>
      </c>
      <c r="M4" s="4" t="s">
        <v>19</v>
      </c>
    </row>
    <row r="5" spans="1:23 16384:16384" s="11" customFormat="1" ht="84" customHeight="1" x14ac:dyDescent="0.45">
      <c r="A5" s="95"/>
      <c r="B5" s="86"/>
      <c r="C5" s="96">
        <v>4</v>
      </c>
      <c r="D5" s="93"/>
      <c r="E5" s="4">
        <f t="shared" si="0"/>
        <v>4</v>
      </c>
      <c r="F5" s="18" t="s">
        <v>28</v>
      </c>
      <c r="G5" s="19" t="s">
        <v>29</v>
      </c>
      <c r="H5" s="18" t="s">
        <v>30</v>
      </c>
      <c r="I5" s="20" t="s">
        <v>31</v>
      </c>
      <c r="J5" s="21"/>
      <c r="K5" s="21"/>
      <c r="L5" s="18" t="s">
        <v>32</v>
      </c>
      <c r="M5" s="4" t="s">
        <v>19</v>
      </c>
      <c r="P5"/>
      <c r="Q5"/>
      <c r="V5"/>
      <c r="W5"/>
    </row>
    <row r="6" spans="1:23 16384:16384" ht="193.95" customHeight="1" x14ac:dyDescent="0.3">
      <c r="A6" s="95"/>
      <c r="B6" s="86"/>
      <c r="C6" s="96">
        <v>3</v>
      </c>
      <c r="D6" s="93" t="s">
        <v>33</v>
      </c>
      <c r="E6" s="4">
        <f t="shared" si="0"/>
        <v>5</v>
      </c>
      <c r="F6" s="4" t="s">
        <v>34</v>
      </c>
      <c r="G6" s="5" t="s">
        <v>35</v>
      </c>
      <c r="H6" s="17" t="s">
        <v>36</v>
      </c>
      <c r="I6" s="5" t="s">
        <v>37</v>
      </c>
      <c r="J6" s="16"/>
      <c r="K6" s="16"/>
      <c r="L6" s="15" t="s">
        <v>18</v>
      </c>
      <c r="M6" s="4" t="s">
        <v>19</v>
      </c>
    </row>
    <row r="7" spans="1:23 16384:16384" ht="100.65" customHeight="1" x14ac:dyDescent="0.3">
      <c r="A7" s="95"/>
      <c r="B7" s="86"/>
      <c r="C7" s="96">
        <v>4</v>
      </c>
      <c r="D7" s="93"/>
      <c r="E7" s="4">
        <f t="shared" si="0"/>
        <v>6</v>
      </c>
      <c r="F7" s="4" t="s">
        <v>24</v>
      </c>
      <c r="G7" s="5" t="s">
        <v>38</v>
      </c>
      <c r="H7" s="17" t="s">
        <v>26</v>
      </c>
      <c r="J7" s="16"/>
      <c r="K7" s="16"/>
      <c r="L7" s="15" t="s">
        <v>27</v>
      </c>
      <c r="M7" s="4" t="s">
        <v>19</v>
      </c>
    </row>
    <row r="8" spans="1:23 16384:16384" ht="57.6" customHeight="1" x14ac:dyDescent="0.3">
      <c r="A8" s="95"/>
      <c r="B8" s="86"/>
      <c r="C8" s="96">
        <v>4</v>
      </c>
      <c r="D8" s="93" t="s">
        <v>39</v>
      </c>
      <c r="E8" s="4">
        <f t="shared" si="0"/>
        <v>7</v>
      </c>
      <c r="F8" s="4" t="s">
        <v>40</v>
      </c>
      <c r="G8" s="22" t="s">
        <v>41</v>
      </c>
      <c r="H8" s="17" t="s">
        <v>42</v>
      </c>
      <c r="J8" s="16"/>
      <c r="K8" s="16"/>
      <c r="L8" s="18" t="s">
        <v>32</v>
      </c>
      <c r="M8" s="4" t="s">
        <v>19</v>
      </c>
    </row>
    <row r="9" spans="1:23 16384:16384" ht="57.6" customHeight="1" x14ac:dyDescent="0.3">
      <c r="A9" s="95"/>
      <c r="B9" s="86"/>
      <c r="C9" s="96">
        <v>5</v>
      </c>
      <c r="D9" s="93"/>
      <c r="E9" s="4">
        <f t="shared" si="0"/>
        <v>8</v>
      </c>
      <c r="F9" s="4" t="s">
        <v>43</v>
      </c>
      <c r="G9" s="5" t="s">
        <v>44</v>
      </c>
      <c r="H9" s="17" t="s">
        <v>45</v>
      </c>
      <c r="J9" s="16"/>
      <c r="K9" s="16"/>
      <c r="L9" s="15"/>
      <c r="M9" s="4" t="s">
        <v>19</v>
      </c>
    </row>
    <row r="10" spans="1:23 16384:16384" ht="57.6" customHeight="1" x14ac:dyDescent="0.3">
      <c r="A10" s="95"/>
      <c r="B10" s="86"/>
      <c r="C10" s="96">
        <v>5</v>
      </c>
      <c r="D10" s="93" t="s">
        <v>46</v>
      </c>
      <c r="E10" s="4">
        <f t="shared" si="0"/>
        <v>9</v>
      </c>
      <c r="F10" s="4" t="s">
        <v>47</v>
      </c>
      <c r="G10" s="5" t="s">
        <v>48</v>
      </c>
      <c r="H10" s="15" t="s">
        <v>49</v>
      </c>
      <c r="J10" s="16"/>
      <c r="K10" s="16"/>
      <c r="L10" s="15" t="s">
        <v>18</v>
      </c>
      <c r="M10" s="4" t="s">
        <v>19</v>
      </c>
    </row>
    <row r="11" spans="1:23 16384:16384" ht="208.95" customHeight="1" x14ac:dyDescent="0.3">
      <c r="A11" s="95"/>
      <c r="B11" s="86"/>
      <c r="C11" s="96">
        <v>6</v>
      </c>
      <c r="D11" s="93"/>
      <c r="E11" s="4">
        <f t="shared" si="0"/>
        <v>10</v>
      </c>
      <c r="F11" s="4" t="s">
        <v>50</v>
      </c>
      <c r="G11" s="5" t="s">
        <v>51</v>
      </c>
      <c r="H11" s="17" t="s">
        <v>52</v>
      </c>
      <c r="I11" s="5" t="s">
        <v>53</v>
      </c>
      <c r="J11" s="16"/>
      <c r="K11" s="16"/>
      <c r="L11" s="15" t="s">
        <v>18</v>
      </c>
      <c r="M11" s="4" t="s">
        <v>19</v>
      </c>
      <c r="XFD11"/>
    </row>
    <row r="12" spans="1:23 16384:16384" ht="57.6" customHeight="1" x14ac:dyDescent="0.3">
      <c r="A12" s="95"/>
      <c r="B12" s="86"/>
      <c r="C12" s="96">
        <v>7</v>
      </c>
      <c r="D12" s="93"/>
      <c r="E12" s="4">
        <f t="shared" si="0"/>
        <v>11</v>
      </c>
      <c r="F12" s="4" t="s">
        <v>54</v>
      </c>
      <c r="G12" s="22" t="s">
        <v>55</v>
      </c>
      <c r="H12" s="17" t="s">
        <v>56</v>
      </c>
      <c r="J12" s="16"/>
      <c r="K12" s="16"/>
      <c r="L12" s="15" t="s">
        <v>18</v>
      </c>
      <c r="M12" s="4" t="s">
        <v>19</v>
      </c>
    </row>
    <row r="13" spans="1:23 16384:16384" ht="57.6" customHeight="1" x14ac:dyDescent="0.3">
      <c r="A13" s="95"/>
      <c r="B13" s="86"/>
      <c r="C13" s="96">
        <v>8</v>
      </c>
      <c r="D13" s="93"/>
      <c r="E13" s="4">
        <f t="shared" si="0"/>
        <v>12</v>
      </c>
      <c r="F13" s="4" t="s">
        <v>57</v>
      </c>
      <c r="G13" s="5" t="s">
        <v>58</v>
      </c>
      <c r="H13" s="5" t="s">
        <v>59</v>
      </c>
      <c r="J13" s="16"/>
      <c r="K13" s="16"/>
      <c r="L13" s="18" t="s">
        <v>32</v>
      </c>
      <c r="M13" s="4" t="s">
        <v>19</v>
      </c>
    </row>
    <row r="14" spans="1:23 16384:16384" ht="57.6" customHeight="1" x14ac:dyDescent="0.5">
      <c r="A14" s="95"/>
      <c r="B14" s="86"/>
      <c r="C14" s="96">
        <v>6</v>
      </c>
      <c r="D14" s="93" t="s">
        <v>60</v>
      </c>
      <c r="E14" s="4">
        <f t="shared" si="0"/>
        <v>13</v>
      </c>
      <c r="F14" s="23" t="s">
        <v>61</v>
      </c>
      <c r="G14" s="23" t="s">
        <v>62</v>
      </c>
      <c r="H14" s="23" t="s">
        <v>63</v>
      </c>
      <c r="J14" s="16"/>
      <c r="K14" s="16"/>
      <c r="L14" s="18" t="s">
        <v>32</v>
      </c>
      <c r="M14" s="4" t="s">
        <v>19</v>
      </c>
    </row>
    <row r="15" spans="1:23 16384:16384" ht="57.6" customHeight="1" x14ac:dyDescent="0.5">
      <c r="A15" s="95"/>
      <c r="B15" s="86"/>
      <c r="C15" s="96"/>
      <c r="D15" s="93"/>
      <c r="E15" s="4">
        <f t="shared" si="0"/>
        <v>14</v>
      </c>
      <c r="F15" s="23" t="s">
        <v>64</v>
      </c>
      <c r="G15" s="23" t="s">
        <v>65</v>
      </c>
      <c r="H15" s="23" t="s">
        <v>66</v>
      </c>
      <c r="J15" s="16"/>
      <c r="K15" s="16"/>
      <c r="L15" s="18" t="s">
        <v>32</v>
      </c>
      <c r="M15" s="4" t="s">
        <v>19</v>
      </c>
    </row>
    <row r="16" spans="1:23 16384:16384" ht="57.6" customHeight="1" x14ac:dyDescent="0.5">
      <c r="A16" s="95"/>
      <c r="B16" s="86"/>
      <c r="C16" s="96"/>
      <c r="D16" s="93"/>
      <c r="E16" s="4">
        <f t="shared" si="0"/>
        <v>15</v>
      </c>
      <c r="F16" s="23" t="s">
        <v>67</v>
      </c>
      <c r="G16" s="23" t="s">
        <v>68</v>
      </c>
      <c r="H16" s="23" t="s">
        <v>69</v>
      </c>
      <c r="J16" s="16"/>
      <c r="K16" s="16"/>
      <c r="L16" s="18" t="s">
        <v>32</v>
      </c>
      <c r="M16" s="4" t="s">
        <v>19</v>
      </c>
    </row>
    <row r="17" spans="1:1023 1025:2047 2049:3071 3073:4095 4097:5119 5121:6143 6145:7167 7169:8191 8193:9215 9217:10239 10241:11263 11265:12287 12289:13311 13313:14335 14337:15359 15361:16383" ht="57" customHeight="1" x14ac:dyDescent="0.3">
      <c r="A17" s="12"/>
      <c r="B17" s="13"/>
      <c r="C17" s="14"/>
      <c r="H17" s="15"/>
      <c r="J17" s="16"/>
    </row>
    <row r="18" spans="1:1023 1025:2047 2049:3071 3073:4095 4097:5119 5121:6143 6145:7167 7169:8191 8193:9215 9217:10239 10241:11263 11265:12287 12289:13311 13313:14335 14337:15359 15361:16383" ht="57" customHeight="1" x14ac:dyDescent="0.3">
      <c r="A18" s="12"/>
      <c r="B18" s="13"/>
      <c r="C18" s="14"/>
      <c r="H18" s="15"/>
      <c r="I18" s="5"/>
      <c r="O18" s="24"/>
      <c r="S18" s="24"/>
      <c r="U18" s="24"/>
      <c r="Y18" s="24"/>
      <c r="AA18" s="24"/>
      <c r="AC18" s="24"/>
      <c r="AE18" s="24"/>
      <c r="AG18" s="24"/>
      <c r="AI18" s="24"/>
      <c r="AK18" s="24"/>
      <c r="AM18" s="24"/>
      <c r="AO18" s="24"/>
      <c r="AQ18" s="24"/>
      <c r="AS18" s="24"/>
      <c r="AU18" s="24"/>
      <c r="AW18" s="24"/>
      <c r="AY18" s="24"/>
      <c r="BA18" s="24"/>
      <c r="BC18" s="24"/>
      <c r="BE18" s="24"/>
      <c r="BG18" s="24"/>
      <c r="BI18" s="24"/>
      <c r="BK18" s="24"/>
      <c r="BM18" s="24"/>
      <c r="BO18" s="24"/>
      <c r="BQ18" s="24"/>
      <c r="BS18" s="24"/>
      <c r="BU18" s="24"/>
      <c r="BW18" s="24"/>
      <c r="BY18" s="24"/>
      <c r="CA18" s="24"/>
      <c r="CC18" s="24"/>
      <c r="CE18" s="24"/>
      <c r="CG18" s="24"/>
      <c r="CI18" s="24"/>
      <c r="CK18" s="24"/>
      <c r="CM18" s="24"/>
      <c r="CO18" s="24"/>
      <c r="CQ18" s="24"/>
      <c r="CS18" s="24"/>
      <c r="CU18" s="24"/>
      <c r="CW18" s="24"/>
      <c r="CY18" s="24"/>
      <c r="DA18" s="24"/>
      <c r="DC18" s="24"/>
      <c r="DE18" s="24"/>
      <c r="DG18" s="24"/>
      <c r="DI18" s="24"/>
      <c r="DK18" s="24"/>
      <c r="DM18" s="24"/>
      <c r="DO18" s="24"/>
      <c r="DQ18" s="24"/>
      <c r="DS18" s="24"/>
      <c r="DU18" s="24"/>
      <c r="DW18" s="24"/>
      <c r="DY18" s="24"/>
      <c r="EA18" s="24"/>
      <c r="EC18" s="24"/>
      <c r="EE18" s="24"/>
      <c r="EG18" s="24"/>
      <c r="EI18" s="24"/>
      <c r="EK18" s="24"/>
      <c r="EM18" s="24"/>
      <c r="EO18" s="24"/>
      <c r="EQ18" s="24"/>
      <c r="ES18" s="24"/>
      <c r="EU18" s="24"/>
      <c r="EW18" s="24"/>
      <c r="EY18" s="24"/>
      <c r="FA18" s="24"/>
      <c r="FC18" s="24"/>
      <c r="FE18" s="24"/>
      <c r="FG18" s="24"/>
      <c r="FI18" s="24"/>
      <c r="FK18" s="24"/>
      <c r="FM18" s="24"/>
      <c r="FO18" s="24"/>
      <c r="FQ18" s="24"/>
      <c r="FS18" s="24"/>
      <c r="FU18" s="24"/>
      <c r="FW18" s="24"/>
      <c r="FY18" s="24"/>
      <c r="GA18" s="24"/>
      <c r="GC18" s="24"/>
      <c r="GE18" s="24"/>
      <c r="GG18" s="24"/>
      <c r="GI18" s="24"/>
      <c r="GK18" s="24"/>
      <c r="GM18" s="24"/>
      <c r="GO18" s="24"/>
      <c r="GQ18" s="24"/>
      <c r="GS18" s="24"/>
      <c r="GU18" s="24"/>
      <c r="GW18" s="24"/>
      <c r="GY18" s="24"/>
      <c r="HA18" s="24"/>
      <c r="HC18" s="24"/>
      <c r="HE18" s="24"/>
      <c r="HG18" s="24"/>
      <c r="HI18" s="24"/>
      <c r="HK18" s="24"/>
      <c r="HM18" s="24"/>
      <c r="HO18" s="24"/>
      <c r="HQ18" s="24"/>
      <c r="HS18" s="24"/>
      <c r="HU18" s="24"/>
      <c r="HW18" s="24"/>
      <c r="HY18" s="24"/>
      <c r="IA18" s="24"/>
      <c r="IC18" s="24"/>
      <c r="IE18" s="24"/>
      <c r="IG18" s="24"/>
      <c r="II18" s="24"/>
      <c r="IK18" s="24"/>
      <c r="IM18" s="24"/>
      <c r="IO18" s="24"/>
      <c r="IQ18" s="24"/>
      <c r="IS18" s="24"/>
      <c r="IU18" s="24"/>
      <c r="IW18" s="24"/>
      <c r="IY18" s="24"/>
      <c r="JA18" s="24"/>
      <c r="JC18" s="24"/>
      <c r="JE18" s="24"/>
      <c r="JG18" s="24"/>
      <c r="JI18" s="24"/>
      <c r="JK18" s="24"/>
      <c r="JM18" s="24"/>
      <c r="JO18" s="24"/>
      <c r="JQ18" s="24"/>
      <c r="JS18" s="24"/>
      <c r="JU18" s="24"/>
      <c r="JW18" s="24"/>
      <c r="JY18" s="24"/>
      <c r="KA18" s="24"/>
      <c r="KC18" s="24"/>
      <c r="KE18" s="24"/>
      <c r="KG18" s="24"/>
      <c r="KI18" s="24"/>
      <c r="KK18" s="24"/>
      <c r="KM18" s="24"/>
      <c r="KO18" s="24"/>
      <c r="KQ18" s="24"/>
      <c r="KS18" s="24"/>
      <c r="KU18" s="24"/>
      <c r="KW18" s="24"/>
      <c r="KY18" s="24"/>
      <c r="LA18" s="24"/>
      <c r="LC18" s="24"/>
      <c r="LE18" s="24"/>
      <c r="LG18" s="24"/>
      <c r="LI18" s="24"/>
      <c r="LK18" s="24"/>
      <c r="LM18" s="24"/>
      <c r="LO18" s="24"/>
      <c r="LQ18" s="24"/>
      <c r="LS18" s="24"/>
      <c r="LU18" s="24"/>
      <c r="LW18" s="24"/>
      <c r="LY18" s="24"/>
      <c r="MA18" s="24"/>
      <c r="MC18" s="24"/>
      <c r="ME18" s="24"/>
      <c r="MG18" s="24"/>
      <c r="MI18" s="24"/>
      <c r="MK18" s="24"/>
      <c r="MM18" s="24"/>
      <c r="MO18" s="24"/>
      <c r="MQ18" s="24"/>
      <c r="MS18" s="24"/>
      <c r="MU18" s="24"/>
      <c r="MW18" s="24"/>
      <c r="MY18" s="24"/>
      <c r="NA18" s="24"/>
      <c r="NC18" s="24"/>
      <c r="NE18" s="24"/>
      <c r="NG18" s="24"/>
      <c r="NI18" s="24"/>
      <c r="NK18" s="24"/>
      <c r="NM18" s="24"/>
      <c r="NO18" s="24"/>
      <c r="NQ18" s="24"/>
      <c r="NS18" s="24"/>
      <c r="NU18" s="24"/>
      <c r="NW18" s="24"/>
      <c r="NY18" s="24"/>
      <c r="OA18" s="24"/>
      <c r="OC18" s="24"/>
      <c r="OE18" s="24"/>
      <c r="OG18" s="24"/>
      <c r="OI18" s="24"/>
      <c r="OK18" s="24"/>
      <c r="OM18" s="24"/>
      <c r="OO18" s="24"/>
      <c r="OQ18" s="24"/>
      <c r="OS18" s="24"/>
      <c r="OU18" s="24"/>
      <c r="OW18" s="24"/>
      <c r="OY18" s="24"/>
      <c r="PA18" s="24"/>
      <c r="PC18" s="24"/>
      <c r="PE18" s="24"/>
      <c r="PG18" s="24"/>
      <c r="PI18" s="24"/>
      <c r="PK18" s="24"/>
      <c r="PM18" s="24"/>
      <c r="PO18" s="24"/>
      <c r="PQ18" s="24"/>
      <c r="PS18" s="24"/>
      <c r="PU18" s="24"/>
      <c r="PW18" s="24"/>
      <c r="PY18" s="24"/>
      <c r="QA18" s="24"/>
      <c r="QC18" s="24"/>
      <c r="QE18" s="24"/>
      <c r="QG18" s="24"/>
      <c r="QI18" s="24"/>
      <c r="QK18" s="24"/>
      <c r="QM18" s="24"/>
      <c r="QO18" s="24"/>
      <c r="QQ18" s="24"/>
      <c r="QS18" s="24"/>
      <c r="QU18" s="24"/>
      <c r="QW18" s="24"/>
      <c r="QY18" s="24"/>
      <c r="RA18" s="24"/>
      <c r="RC18" s="24"/>
      <c r="RE18" s="24"/>
      <c r="RG18" s="24"/>
      <c r="RI18" s="24"/>
      <c r="RK18" s="24"/>
      <c r="RM18" s="24"/>
      <c r="RO18" s="24"/>
      <c r="RQ18" s="24"/>
      <c r="RS18" s="24"/>
      <c r="RU18" s="24"/>
      <c r="RW18" s="24"/>
      <c r="RY18" s="24"/>
      <c r="SA18" s="24"/>
      <c r="SC18" s="24"/>
      <c r="SE18" s="24"/>
      <c r="SG18" s="24"/>
      <c r="SI18" s="24"/>
      <c r="SK18" s="24"/>
      <c r="SM18" s="24"/>
      <c r="SO18" s="24"/>
      <c r="SQ18" s="24"/>
      <c r="SS18" s="24"/>
      <c r="SU18" s="24"/>
      <c r="SW18" s="24"/>
      <c r="SY18" s="24"/>
      <c r="TA18" s="24"/>
      <c r="TC18" s="24"/>
      <c r="TE18" s="24"/>
      <c r="TG18" s="24"/>
      <c r="TI18" s="24"/>
      <c r="TK18" s="24"/>
      <c r="TM18" s="24"/>
      <c r="TO18" s="24"/>
      <c r="TQ18" s="24"/>
      <c r="TS18" s="24"/>
      <c r="TU18" s="24"/>
      <c r="TW18" s="24"/>
      <c r="TY18" s="24"/>
      <c r="UA18" s="24"/>
      <c r="UC18" s="24"/>
      <c r="UE18" s="24"/>
      <c r="UG18" s="24"/>
      <c r="UI18" s="24"/>
      <c r="UK18" s="24"/>
      <c r="UM18" s="24"/>
      <c r="UO18" s="24"/>
      <c r="UQ18" s="24"/>
      <c r="US18" s="24"/>
      <c r="UU18" s="24"/>
      <c r="UW18" s="24"/>
      <c r="UY18" s="24"/>
      <c r="VA18" s="24"/>
      <c r="VC18" s="24"/>
      <c r="VE18" s="24"/>
      <c r="VG18" s="24"/>
      <c r="VI18" s="24"/>
      <c r="VK18" s="24"/>
      <c r="VM18" s="24"/>
      <c r="VO18" s="24"/>
      <c r="VQ18" s="24"/>
      <c r="VS18" s="24"/>
      <c r="VU18" s="24"/>
      <c r="VW18" s="24"/>
      <c r="VY18" s="24"/>
      <c r="WA18" s="24"/>
      <c r="WC18" s="24"/>
      <c r="WE18" s="24"/>
      <c r="WG18" s="24"/>
      <c r="WI18" s="24"/>
      <c r="WK18" s="24"/>
      <c r="WM18" s="24"/>
      <c r="WO18" s="24"/>
      <c r="WQ18" s="24"/>
      <c r="WS18" s="24"/>
      <c r="WU18" s="24"/>
      <c r="WW18" s="24"/>
      <c r="WY18" s="24"/>
      <c r="XA18" s="24"/>
      <c r="XC18" s="24"/>
      <c r="XE18" s="24"/>
      <c r="XG18" s="24"/>
      <c r="XI18" s="24"/>
      <c r="XK18" s="24"/>
      <c r="XM18" s="24"/>
      <c r="XO18" s="24"/>
      <c r="XQ18" s="24"/>
      <c r="XS18" s="24"/>
      <c r="XU18" s="24"/>
      <c r="XW18" s="24"/>
      <c r="XY18" s="24"/>
      <c r="YA18" s="24"/>
      <c r="YC18" s="24"/>
      <c r="YE18" s="24"/>
      <c r="YG18" s="24"/>
      <c r="YI18" s="24"/>
      <c r="YK18" s="24"/>
      <c r="YM18" s="24"/>
      <c r="YO18" s="24"/>
      <c r="YQ18" s="24"/>
      <c r="YS18" s="24"/>
      <c r="YU18" s="24"/>
      <c r="YW18" s="24"/>
      <c r="YY18" s="24"/>
      <c r="ZA18" s="24"/>
      <c r="ZC18" s="24"/>
      <c r="ZE18" s="24"/>
      <c r="ZG18" s="24"/>
      <c r="ZI18" s="24"/>
      <c r="ZK18" s="24"/>
      <c r="ZM18" s="24"/>
      <c r="ZO18" s="24"/>
      <c r="ZQ18" s="24"/>
      <c r="ZS18" s="24"/>
      <c r="ZU18" s="24"/>
      <c r="ZW18" s="24"/>
      <c r="ZY18" s="24"/>
      <c r="AAA18" s="24"/>
      <c r="AAC18" s="24"/>
      <c r="AAE18" s="24"/>
      <c r="AAG18" s="24"/>
      <c r="AAI18" s="24"/>
      <c r="AAK18" s="24"/>
      <c r="AAM18" s="24"/>
      <c r="AAO18" s="24"/>
      <c r="AAQ18" s="24"/>
      <c r="AAS18" s="24"/>
      <c r="AAU18" s="24"/>
      <c r="AAW18" s="24"/>
      <c r="AAY18" s="24"/>
      <c r="ABA18" s="24"/>
      <c r="ABC18" s="24"/>
      <c r="ABE18" s="24"/>
      <c r="ABG18" s="24"/>
      <c r="ABI18" s="24"/>
      <c r="ABK18" s="24"/>
      <c r="ABM18" s="24"/>
      <c r="ABO18" s="24"/>
      <c r="ABQ18" s="24"/>
      <c r="ABS18" s="24"/>
      <c r="ABU18" s="24"/>
      <c r="ABW18" s="24"/>
      <c r="ABY18" s="24"/>
      <c r="ACA18" s="24"/>
      <c r="ACC18" s="24"/>
      <c r="ACE18" s="24"/>
      <c r="ACG18" s="24"/>
      <c r="ACI18" s="24"/>
      <c r="ACK18" s="24"/>
      <c r="ACM18" s="24"/>
      <c r="ACO18" s="24"/>
      <c r="ACQ18" s="24"/>
      <c r="ACS18" s="24"/>
      <c r="ACU18" s="24"/>
      <c r="ACW18" s="24"/>
      <c r="ACY18" s="24"/>
      <c r="ADA18" s="24"/>
      <c r="ADC18" s="24"/>
      <c r="ADE18" s="24"/>
      <c r="ADG18" s="24"/>
      <c r="ADI18" s="24"/>
      <c r="ADK18" s="24"/>
      <c r="ADM18" s="24"/>
      <c r="ADO18" s="24"/>
      <c r="ADQ18" s="24"/>
      <c r="ADS18" s="24"/>
      <c r="ADU18" s="24"/>
      <c r="ADW18" s="24"/>
      <c r="ADY18" s="24"/>
      <c r="AEA18" s="24"/>
      <c r="AEC18" s="24"/>
      <c r="AEE18" s="24"/>
      <c r="AEG18" s="24"/>
      <c r="AEI18" s="24"/>
      <c r="AEK18" s="24"/>
      <c r="AEM18" s="24"/>
      <c r="AEO18" s="24"/>
      <c r="AEQ18" s="24"/>
      <c r="AES18" s="24"/>
      <c r="AEU18" s="24"/>
      <c r="AEW18" s="24"/>
      <c r="AEY18" s="24"/>
      <c r="AFA18" s="24"/>
      <c r="AFC18" s="24"/>
      <c r="AFE18" s="24"/>
      <c r="AFG18" s="24"/>
      <c r="AFI18" s="24"/>
      <c r="AFK18" s="24"/>
      <c r="AFM18" s="24"/>
      <c r="AFO18" s="24"/>
      <c r="AFQ18" s="24"/>
      <c r="AFS18" s="24"/>
      <c r="AFU18" s="24"/>
      <c r="AFW18" s="24"/>
      <c r="AFY18" s="24"/>
      <c r="AGA18" s="24"/>
      <c r="AGC18" s="24"/>
      <c r="AGE18" s="24"/>
      <c r="AGG18" s="24"/>
      <c r="AGI18" s="24"/>
      <c r="AGK18" s="24"/>
      <c r="AGM18" s="24"/>
      <c r="AGO18" s="24"/>
      <c r="AGQ18" s="24"/>
      <c r="AGS18" s="24"/>
      <c r="AGU18" s="24"/>
      <c r="AGW18" s="24"/>
      <c r="AGY18" s="24"/>
      <c r="AHA18" s="24"/>
      <c r="AHC18" s="24"/>
      <c r="AHE18" s="24"/>
      <c r="AHG18" s="24"/>
      <c r="AHI18" s="24"/>
      <c r="AHK18" s="24"/>
      <c r="AHM18" s="24"/>
      <c r="AHO18" s="24"/>
      <c r="AHQ18" s="24"/>
      <c r="AHS18" s="24"/>
      <c r="AHU18" s="24"/>
      <c r="AHW18" s="24"/>
      <c r="AHY18" s="24"/>
      <c r="AIA18" s="24"/>
      <c r="AIC18" s="24"/>
      <c r="AIE18" s="24"/>
      <c r="AIG18" s="24"/>
      <c r="AII18" s="24"/>
      <c r="AIK18" s="24"/>
      <c r="AIM18" s="24"/>
      <c r="AIO18" s="24"/>
      <c r="AIQ18" s="24"/>
      <c r="AIS18" s="24"/>
      <c r="AIU18" s="24"/>
      <c r="AIW18" s="24"/>
      <c r="AIY18" s="24"/>
      <c r="AJA18" s="24"/>
      <c r="AJC18" s="24"/>
      <c r="AJE18" s="24"/>
      <c r="AJG18" s="24"/>
      <c r="AJI18" s="24"/>
      <c r="AJK18" s="24"/>
      <c r="AJM18" s="24"/>
      <c r="AJO18" s="24"/>
      <c r="AJQ18" s="24"/>
      <c r="AJS18" s="24"/>
      <c r="AJU18" s="24"/>
      <c r="AJW18" s="24"/>
      <c r="AJY18" s="24"/>
      <c r="AKA18" s="24"/>
      <c r="AKC18" s="24"/>
      <c r="AKE18" s="24"/>
      <c r="AKG18" s="24"/>
      <c r="AKI18" s="24"/>
      <c r="AKK18" s="24"/>
      <c r="AKM18" s="24"/>
      <c r="AKO18" s="24"/>
      <c r="AKQ18" s="24"/>
      <c r="AKS18" s="24"/>
      <c r="AKU18" s="24"/>
      <c r="AKW18" s="24"/>
      <c r="AKY18" s="24"/>
      <c r="ALA18" s="24"/>
      <c r="ALC18" s="24"/>
      <c r="ALE18" s="24"/>
      <c r="ALG18" s="24"/>
      <c r="ALI18" s="24"/>
      <c r="ALK18" s="24"/>
      <c r="ALM18" s="24"/>
      <c r="ALO18" s="24"/>
      <c r="ALQ18" s="24"/>
      <c r="ALS18" s="24"/>
      <c r="ALU18" s="24"/>
      <c r="ALW18" s="24"/>
      <c r="ALY18" s="24"/>
      <c r="AMA18" s="24"/>
      <c r="AMC18" s="24"/>
      <c r="AME18" s="24"/>
      <c r="AMG18" s="24"/>
      <c r="AMI18" s="24"/>
      <c r="AMK18" s="24"/>
      <c r="AMM18" s="24"/>
      <c r="AMO18" s="24"/>
      <c r="AMQ18" s="24"/>
      <c r="AMS18" s="24"/>
      <c r="AMU18" s="24"/>
      <c r="AMW18" s="24"/>
      <c r="AMY18" s="24"/>
      <c r="ANA18" s="24"/>
      <c r="ANC18" s="24"/>
      <c r="ANE18" s="24"/>
      <c r="ANG18" s="24"/>
      <c r="ANI18" s="24"/>
      <c r="ANK18" s="24"/>
      <c r="ANM18" s="24"/>
      <c r="ANO18" s="24"/>
      <c r="ANQ18" s="24"/>
      <c r="ANS18" s="24"/>
      <c r="ANU18" s="24"/>
      <c r="ANW18" s="24"/>
      <c r="ANY18" s="24"/>
      <c r="AOA18" s="24"/>
      <c r="AOC18" s="24"/>
      <c r="AOE18" s="24"/>
      <c r="AOG18" s="24"/>
      <c r="AOI18" s="24"/>
      <c r="AOK18" s="24"/>
      <c r="AOM18" s="24"/>
      <c r="AOO18" s="24"/>
      <c r="AOQ18" s="24"/>
      <c r="AOS18" s="24"/>
      <c r="AOU18" s="24"/>
      <c r="AOW18" s="24"/>
      <c r="AOY18" s="24"/>
      <c r="APA18" s="24"/>
      <c r="APC18" s="24"/>
      <c r="APE18" s="24"/>
      <c r="APG18" s="24"/>
      <c r="API18" s="24"/>
      <c r="APK18" s="24"/>
      <c r="APM18" s="24"/>
      <c r="APO18" s="24"/>
      <c r="APQ18" s="24"/>
      <c r="APS18" s="24"/>
      <c r="APU18" s="24"/>
      <c r="APW18" s="24"/>
      <c r="APY18" s="24"/>
      <c r="AQA18" s="24"/>
      <c r="AQC18" s="24"/>
      <c r="AQE18" s="24"/>
      <c r="AQG18" s="24"/>
      <c r="AQI18" s="24"/>
      <c r="AQK18" s="24"/>
      <c r="AQM18" s="24"/>
      <c r="AQO18" s="24"/>
      <c r="AQQ18" s="24"/>
      <c r="AQS18" s="24"/>
      <c r="AQU18" s="24"/>
      <c r="AQW18" s="24"/>
      <c r="AQY18" s="24"/>
      <c r="ARA18" s="24"/>
      <c r="ARC18" s="24"/>
      <c r="ARE18" s="24"/>
      <c r="ARG18" s="24"/>
      <c r="ARI18" s="24"/>
      <c r="ARK18" s="24"/>
      <c r="ARM18" s="24"/>
      <c r="ARO18" s="24"/>
      <c r="ARQ18" s="24"/>
      <c r="ARS18" s="24"/>
      <c r="ARU18" s="24"/>
      <c r="ARW18" s="24"/>
      <c r="ARY18" s="24"/>
      <c r="ASA18" s="24"/>
      <c r="ASC18" s="24"/>
      <c r="ASE18" s="24"/>
      <c r="ASG18" s="24"/>
      <c r="ASI18" s="24"/>
      <c r="ASK18" s="24"/>
      <c r="ASM18" s="24"/>
      <c r="ASO18" s="24"/>
      <c r="ASQ18" s="24"/>
      <c r="ASS18" s="24"/>
      <c r="ASU18" s="24"/>
      <c r="ASW18" s="24"/>
      <c r="ASY18" s="24"/>
      <c r="ATA18" s="24"/>
      <c r="ATC18" s="24"/>
      <c r="ATE18" s="24"/>
      <c r="ATG18" s="24"/>
      <c r="ATI18" s="24"/>
      <c r="ATK18" s="24"/>
      <c r="ATM18" s="24"/>
      <c r="ATO18" s="24"/>
      <c r="ATQ18" s="24"/>
      <c r="ATS18" s="24"/>
      <c r="ATU18" s="24"/>
      <c r="ATW18" s="24"/>
      <c r="ATY18" s="24"/>
      <c r="AUA18" s="24"/>
      <c r="AUC18" s="24"/>
      <c r="AUE18" s="24"/>
      <c r="AUG18" s="24"/>
      <c r="AUI18" s="24"/>
      <c r="AUK18" s="24"/>
      <c r="AUM18" s="24"/>
      <c r="AUO18" s="24"/>
      <c r="AUQ18" s="24"/>
      <c r="AUS18" s="24"/>
      <c r="AUU18" s="24"/>
      <c r="AUW18" s="24"/>
      <c r="AUY18" s="24"/>
      <c r="AVA18" s="24"/>
      <c r="AVC18" s="24"/>
      <c r="AVE18" s="24"/>
      <c r="AVG18" s="24"/>
      <c r="AVI18" s="24"/>
      <c r="AVK18" s="24"/>
      <c r="AVM18" s="24"/>
      <c r="AVO18" s="24"/>
      <c r="AVQ18" s="24"/>
      <c r="AVS18" s="24"/>
      <c r="AVU18" s="24"/>
      <c r="AVW18" s="24"/>
      <c r="AVY18" s="24"/>
      <c r="AWA18" s="24"/>
      <c r="AWC18" s="24"/>
      <c r="AWE18" s="24"/>
      <c r="AWG18" s="24"/>
      <c r="AWI18" s="24"/>
      <c r="AWK18" s="24"/>
      <c r="AWM18" s="24"/>
      <c r="AWO18" s="24"/>
      <c r="AWQ18" s="24"/>
      <c r="AWS18" s="24"/>
      <c r="AWU18" s="24"/>
      <c r="AWW18" s="24"/>
      <c r="AWY18" s="24"/>
      <c r="AXA18" s="24"/>
      <c r="AXC18" s="24"/>
      <c r="AXE18" s="24"/>
      <c r="AXG18" s="24"/>
      <c r="AXI18" s="24"/>
      <c r="AXK18" s="24"/>
      <c r="AXM18" s="24"/>
      <c r="AXO18" s="24"/>
      <c r="AXQ18" s="24"/>
      <c r="AXS18" s="24"/>
      <c r="AXU18" s="24"/>
      <c r="AXW18" s="24"/>
      <c r="AXY18" s="24"/>
      <c r="AYA18" s="24"/>
      <c r="AYC18" s="24"/>
      <c r="AYE18" s="24"/>
      <c r="AYG18" s="24"/>
      <c r="AYI18" s="24"/>
      <c r="AYK18" s="24"/>
      <c r="AYM18" s="24"/>
      <c r="AYO18" s="24"/>
      <c r="AYQ18" s="24"/>
      <c r="AYS18" s="24"/>
      <c r="AYU18" s="24"/>
      <c r="AYW18" s="24"/>
      <c r="AYY18" s="24"/>
      <c r="AZA18" s="24"/>
      <c r="AZC18" s="24"/>
      <c r="AZE18" s="24"/>
      <c r="AZG18" s="24"/>
      <c r="AZI18" s="24"/>
      <c r="AZK18" s="24"/>
      <c r="AZM18" s="24"/>
      <c r="AZO18" s="24"/>
      <c r="AZQ18" s="24"/>
      <c r="AZS18" s="24"/>
      <c r="AZU18" s="24"/>
      <c r="AZW18" s="24"/>
      <c r="AZY18" s="24"/>
      <c r="BAA18" s="24"/>
      <c r="BAC18" s="24"/>
      <c r="BAE18" s="24"/>
      <c r="BAG18" s="24"/>
      <c r="BAI18" s="24"/>
      <c r="BAK18" s="24"/>
      <c r="BAM18" s="24"/>
      <c r="BAO18" s="24"/>
      <c r="BAQ18" s="24"/>
      <c r="BAS18" s="24"/>
      <c r="BAU18" s="24"/>
      <c r="BAW18" s="24"/>
      <c r="BAY18" s="24"/>
      <c r="BBA18" s="24"/>
      <c r="BBC18" s="24"/>
      <c r="BBE18" s="24"/>
      <c r="BBG18" s="24"/>
      <c r="BBI18" s="24"/>
      <c r="BBK18" s="24"/>
      <c r="BBM18" s="24"/>
      <c r="BBO18" s="24"/>
      <c r="BBQ18" s="24"/>
      <c r="BBS18" s="24"/>
      <c r="BBU18" s="24"/>
      <c r="BBW18" s="24"/>
      <c r="BBY18" s="24"/>
      <c r="BCA18" s="24"/>
      <c r="BCC18" s="24"/>
      <c r="BCE18" s="24"/>
      <c r="BCG18" s="24"/>
      <c r="BCI18" s="24"/>
      <c r="BCK18" s="24"/>
      <c r="BCM18" s="24"/>
      <c r="BCO18" s="24"/>
      <c r="BCQ18" s="24"/>
      <c r="BCS18" s="24"/>
      <c r="BCU18" s="24"/>
      <c r="BCW18" s="24"/>
      <c r="BCY18" s="24"/>
      <c r="BDA18" s="24"/>
      <c r="BDC18" s="24"/>
      <c r="BDE18" s="24"/>
      <c r="BDG18" s="24"/>
      <c r="BDI18" s="24"/>
      <c r="BDK18" s="24"/>
      <c r="BDM18" s="24"/>
      <c r="BDO18" s="24"/>
      <c r="BDQ18" s="24"/>
      <c r="BDS18" s="24"/>
      <c r="BDU18" s="24"/>
      <c r="BDW18" s="24"/>
      <c r="BDY18" s="24"/>
      <c r="BEA18" s="24"/>
      <c r="BEC18" s="24"/>
      <c r="BEE18" s="24"/>
      <c r="BEG18" s="24"/>
      <c r="BEI18" s="24"/>
      <c r="BEK18" s="24"/>
      <c r="BEM18" s="24"/>
      <c r="BEO18" s="24"/>
      <c r="BEQ18" s="24"/>
      <c r="BES18" s="24"/>
      <c r="BEU18" s="24"/>
      <c r="BEW18" s="24"/>
      <c r="BEY18" s="24"/>
      <c r="BFA18" s="24"/>
      <c r="BFC18" s="24"/>
      <c r="BFE18" s="24"/>
      <c r="BFG18" s="24"/>
      <c r="BFI18" s="24"/>
      <c r="BFK18" s="24"/>
      <c r="BFM18" s="24"/>
      <c r="BFO18" s="24"/>
      <c r="BFQ18" s="24"/>
      <c r="BFS18" s="24"/>
      <c r="BFU18" s="24"/>
      <c r="BFW18" s="24"/>
      <c r="BFY18" s="24"/>
      <c r="BGA18" s="24"/>
      <c r="BGC18" s="24"/>
      <c r="BGE18" s="24"/>
      <c r="BGG18" s="24"/>
      <c r="BGI18" s="24"/>
      <c r="BGK18" s="24"/>
      <c r="BGM18" s="24"/>
      <c r="BGO18" s="24"/>
      <c r="BGQ18" s="24"/>
      <c r="BGS18" s="24"/>
      <c r="BGU18" s="24"/>
      <c r="BGW18" s="24"/>
      <c r="BGY18" s="24"/>
      <c r="BHA18" s="24"/>
      <c r="BHC18" s="24"/>
      <c r="BHE18" s="24"/>
      <c r="BHG18" s="24"/>
      <c r="BHI18" s="24"/>
      <c r="BHK18" s="24"/>
      <c r="BHM18" s="24"/>
      <c r="BHO18" s="24"/>
      <c r="BHQ18" s="24"/>
      <c r="BHS18" s="24"/>
      <c r="BHU18" s="24"/>
      <c r="BHW18" s="24"/>
      <c r="BHY18" s="24"/>
      <c r="BIA18" s="24"/>
      <c r="BIC18" s="24"/>
      <c r="BIE18" s="24"/>
      <c r="BIG18" s="24"/>
      <c r="BII18" s="24"/>
      <c r="BIK18" s="24"/>
      <c r="BIM18" s="24"/>
      <c r="BIO18" s="24"/>
      <c r="BIQ18" s="24"/>
      <c r="BIS18" s="24"/>
      <c r="BIU18" s="24"/>
      <c r="BIW18" s="24"/>
      <c r="BIY18" s="24"/>
      <c r="BJA18" s="24"/>
      <c r="BJC18" s="24"/>
      <c r="BJE18" s="24"/>
      <c r="BJG18" s="24"/>
      <c r="BJI18" s="24"/>
      <c r="BJK18" s="24"/>
      <c r="BJM18" s="24"/>
      <c r="BJO18" s="24"/>
      <c r="BJQ18" s="24"/>
      <c r="BJS18" s="24"/>
      <c r="BJU18" s="24"/>
      <c r="BJW18" s="24"/>
      <c r="BJY18" s="24"/>
      <c r="BKA18" s="24"/>
      <c r="BKC18" s="24"/>
      <c r="BKE18" s="24"/>
      <c r="BKG18" s="24"/>
      <c r="BKI18" s="24"/>
      <c r="BKK18" s="24"/>
      <c r="BKM18" s="24"/>
      <c r="BKO18" s="24"/>
      <c r="BKQ18" s="24"/>
      <c r="BKS18" s="24"/>
      <c r="BKU18" s="24"/>
      <c r="BKW18" s="24"/>
      <c r="BKY18" s="24"/>
      <c r="BLA18" s="24"/>
      <c r="BLC18" s="24"/>
      <c r="BLE18" s="24"/>
      <c r="BLG18" s="24"/>
      <c r="BLI18" s="24"/>
      <c r="BLK18" s="24"/>
      <c r="BLM18" s="24"/>
      <c r="BLO18" s="24"/>
      <c r="BLQ18" s="24"/>
      <c r="BLS18" s="24"/>
      <c r="BLU18" s="24"/>
      <c r="BLW18" s="24"/>
      <c r="BLY18" s="24"/>
      <c r="BMA18" s="24"/>
      <c r="BMC18" s="24"/>
      <c r="BME18" s="24"/>
      <c r="BMG18" s="24"/>
      <c r="BMI18" s="24"/>
      <c r="BMK18" s="24"/>
      <c r="BMM18" s="24"/>
      <c r="BMO18" s="24"/>
      <c r="BMQ18" s="24"/>
      <c r="BMS18" s="24"/>
      <c r="BMU18" s="24"/>
      <c r="BMW18" s="24"/>
      <c r="BMY18" s="24"/>
      <c r="BNA18" s="24"/>
      <c r="BNC18" s="24"/>
      <c r="BNE18" s="24"/>
      <c r="BNG18" s="24"/>
      <c r="BNI18" s="24"/>
      <c r="BNK18" s="24"/>
      <c r="BNM18" s="24"/>
      <c r="BNO18" s="24"/>
      <c r="BNQ18" s="24"/>
      <c r="BNS18" s="24"/>
      <c r="BNU18" s="24"/>
      <c r="BNW18" s="24"/>
      <c r="BNY18" s="24"/>
      <c r="BOA18" s="24"/>
      <c r="BOC18" s="24"/>
      <c r="BOE18" s="24"/>
      <c r="BOG18" s="24"/>
      <c r="BOI18" s="24"/>
      <c r="BOK18" s="24"/>
      <c r="BOM18" s="24"/>
      <c r="BOO18" s="24"/>
      <c r="BOQ18" s="24"/>
      <c r="BOS18" s="24"/>
      <c r="BOU18" s="24"/>
      <c r="BOW18" s="24"/>
      <c r="BOY18" s="24"/>
      <c r="BPA18" s="24"/>
      <c r="BPC18" s="24"/>
      <c r="BPE18" s="24"/>
      <c r="BPG18" s="24"/>
      <c r="BPI18" s="24"/>
      <c r="BPK18" s="24"/>
      <c r="BPM18" s="24"/>
      <c r="BPO18" s="24"/>
      <c r="BPQ18" s="24"/>
      <c r="BPS18" s="24"/>
      <c r="BPU18" s="24"/>
      <c r="BPW18" s="24"/>
      <c r="BPY18" s="24"/>
      <c r="BQA18" s="24"/>
      <c r="BQC18" s="24"/>
      <c r="BQE18" s="24"/>
      <c r="BQG18" s="24"/>
      <c r="BQI18" s="24"/>
      <c r="BQK18" s="24"/>
      <c r="BQM18" s="24"/>
      <c r="BQO18" s="24"/>
      <c r="BQQ18" s="24"/>
      <c r="BQS18" s="24"/>
      <c r="BQU18" s="24"/>
      <c r="BQW18" s="24"/>
      <c r="BQY18" s="24"/>
      <c r="BRA18" s="24"/>
      <c r="BRC18" s="24"/>
      <c r="BRE18" s="24"/>
      <c r="BRG18" s="24"/>
      <c r="BRI18" s="24"/>
      <c r="BRK18" s="24"/>
      <c r="BRM18" s="24"/>
      <c r="BRO18" s="24"/>
      <c r="BRQ18" s="24"/>
      <c r="BRS18" s="24"/>
      <c r="BRU18" s="24"/>
      <c r="BRW18" s="24"/>
      <c r="BRY18" s="24"/>
      <c r="BSA18" s="24"/>
      <c r="BSC18" s="24"/>
      <c r="BSE18" s="24"/>
      <c r="BSG18" s="24"/>
      <c r="BSI18" s="24"/>
      <c r="BSK18" s="24"/>
      <c r="BSM18" s="24"/>
      <c r="BSO18" s="24"/>
      <c r="BSQ18" s="24"/>
      <c r="BSS18" s="24"/>
      <c r="BSU18" s="24"/>
      <c r="BSW18" s="24"/>
      <c r="BSY18" s="24"/>
      <c r="BTA18" s="24"/>
      <c r="BTC18" s="24"/>
      <c r="BTE18" s="24"/>
      <c r="BTG18" s="24"/>
      <c r="BTI18" s="24"/>
      <c r="BTK18" s="24"/>
      <c r="BTM18" s="24"/>
      <c r="BTO18" s="24"/>
      <c r="BTQ18" s="24"/>
      <c r="BTS18" s="24"/>
      <c r="BTU18" s="24"/>
      <c r="BTW18" s="24"/>
      <c r="BTY18" s="24"/>
      <c r="BUA18" s="24"/>
      <c r="BUC18" s="24"/>
      <c r="BUE18" s="24"/>
      <c r="BUG18" s="24"/>
      <c r="BUI18" s="24"/>
      <c r="BUK18" s="24"/>
      <c r="BUM18" s="24"/>
      <c r="BUO18" s="24"/>
      <c r="BUQ18" s="24"/>
      <c r="BUS18" s="24"/>
      <c r="BUU18" s="24"/>
      <c r="BUW18" s="24"/>
      <c r="BUY18" s="24"/>
      <c r="BVA18" s="24"/>
      <c r="BVC18" s="24"/>
      <c r="BVE18" s="24"/>
      <c r="BVG18" s="24"/>
      <c r="BVI18" s="24"/>
      <c r="BVK18" s="24"/>
      <c r="BVM18" s="24"/>
      <c r="BVO18" s="24"/>
      <c r="BVQ18" s="24"/>
      <c r="BVS18" s="24"/>
      <c r="BVU18" s="24"/>
      <c r="BVW18" s="24"/>
      <c r="BVY18" s="24"/>
      <c r="BWA18" s="24"/>
      <c r="BWC18" s="24"/>
      <c r="BWE18" s="24"/>
      <c r="BWG18" s="24"/>
      <c r="BWI18" s="24"/>
      <c r="BWK18" s="24"/>
      <c r="BWM18" s="24"/>
      <c r="BWO18" s="24"/>
      <c r="BWQ18" s="24"/>
      <c r="BWS18" s="24"/>
      <c r="BWU18" s="24"/>
      <c r="BWW18" s="24"/>
      <c r="BWY18" s="24"/>
      <c r="BXA18" s="24"/>
      <c r="BXC18" s="24"/>
      <c r="BXE18" s="24"/>
      <c r="BXG18" s="24"/>
      <c r="BXI18" s="24"/>
      <c r="BXK18" s="24"/>
      <c r="BXM18" s="24"/>
      <c r="BXO18" s="24"/>
      <c r="BXQ18" s="24"/>
      <c r="BXS18" s="24"/>
      <c r="BXU18" s="24"/>
      <c r="BXW18" s="24"/>
      <c r="BXY18" s="24"/>
      <c r="BYA18" s="24"/>
      <c r="BYC18" s="24"/>
      <c r="BYE18" s="24"/>
      <c r="BYG18" s="24"/>
      <c r="BYI18" s="24"/>
      <c r="BYK18" s="24"/>
      <c r="BYM18" s="24"/>
      <c r="BYO18" s="24"/>
      <c r="BYQ18" s="24"/>
      <c r="BYS18" s="24"/>
      <c r="BYU18" s="24"/>
      <c r="BYW18" s="24"/>
      <c r="BYY18" s="24"/>
      <c r="BZA18" s="24"/>
      <c r="BZC18" s="24"/>
      <c r="BZE18" s="24"/>
      <c r="BZG18" s="24"/>
      <c r="BZI18" s="24"/>
      <c r="BZK18" s="24"/>
      <c r="BZM18" s="24"/>
      <c r="BZO18" s="24"/>
      <c r="BZQ18" s="24"/>
      <c r="BZS18" s="24"/>
      <c r="BZU18" s="24"/>
      <c r="BZW18" s="24"/>
      <c r="BZY18" s="24"/>
      <c r="CAA18" s="24"/>
      <c r="CAC18" s="24"/>
      <c r="CAE18" s="24"/>
      <c r="CAG18" s="24"/>
      <c r="CAI18" s="24"/>
      <c r="CAK18" s="24"/>
      <c r="CAM18" s="24"/>
      <c r="CAO18" s="24"/>
      <c r="CAQ18" s="24"/>
      <c r="CAS18" s="24"/>
      <c r="CAU18" s="24"/>
      <c r="CAW18" s="24"/>
      <c r="CAY18" s="24"/>
      <c r="CBA18" s="24"/>
      <c r="CBC18" s="24"/>
      <c r="CBE18" s="24"/>
      <c r="CBG18" s="24"/>
      <c r="CBI18" s="24"/>
      <c r="CBK18" s="24"/>
      <c r="CBM18" s="24"/>
      <c r="CBO18" s="24"/>
      <c r="CBQ18" s="24"/>
      <c r="CBS18" s="24"/>
      <c r="CBU18" s="24"/>
      <c r="CBW18" s="24"/>
      <c r="CBY18" s="24"/>
      <c r="CCA18" s="24"/>
      <c r="CCC18" s="24"/>
      <c r="CCE18" s="24"/>
      <c r="CCG18" s="24"/>
      <c r="CCI18" s="24"/>
      <c r="CCK18" s="24"/>
      <c r="CCM18" s="24"/>
      <c r="CCO18" s="24"/>
      <c r="CCQ18" s="24"/>
      <c r="CCS18" s="24"/>
      <c r="CCU18" s="24"/>
      <c r="CCW18" s="24"/>
      <c r="CCY18" s="24"/>
      <c r="CDA18" s="24"/>
      <c r="CDC18" s="24"/>
      <c r="CDE18" s="24"/>
      <c r="CDG18" s="24"/>
      <c r="CDI18" s="24"/>
      <c r="CDK18" s="24"/>
      <c r="CDM18" s="24"/>
      <c r="CDO18" s="24"/>
      <c r="CDQ18" s="24"/>
      <c r="CDS18" s="24"/>
      <c r="CDU18" s="24"/>
      <c r="CDW18" s="24"/>
      <c r="CDY18" s="24"/>
      <c r="CEA18" s="24"/>
      <c r="CEC18" s="24"/>
      <c r="CEE18" s="24"/>
      <c r="CEG18" s="24"/>
      <c r="CEI18" s="24"/>
      <c r="CEK18" s="24"/>
      <c r="CEM18" s="24"/>
      <c r="CEO18" s="24"/>
      <c r="CEQ18" s="24"/>
      <c r="CES18" s="24"/>
      <c r="CEU18" s="24"/>
      <c r="CEW18" s="24"/>
      <c r="CEY18" s="24"/>
      <c r="CFA18" s="24"/>
      <c r="CFC18" s="24"/>
      <c r="CFE18" s="24"/>
      <c r="CFG18" s="24"/>
      <c r="CFI18" s="24"/>
      <c r="CFK18" s="24"/>
      <c r="CFM18" s="24"/>
      <c r="CFO18" s="24"/>
      <c r="CFQ18" s="24"/>
      <c r="CFS18" s="24"/>
      <c r="CFU18" s="24"/>
      <c r="CFW18" s="24"/>
      <c r="CFY18" s="24"/>
      <c r="CGA18" s="24"/>
      <c r="CGC18" s="24"/>
      <c r="CGE18" s="24"/>
      <c r="CGG18" s="24"/>
      <c r="CGI18" s="24"/>
      <c r="CGK18" s="24"/>
      <c r="CGM18" s="24"/>
      <c r="CGO18" s="24"/>
      <c r="CGQ18" s="24"/>
      <c r="CGS18" s="24"/>
      <c r="CGU18" s="24"/>
      <c r="CGW18" s="24"/>
      <c r="CGY18" s="24"/>
      <c r="CHA18" s="24"/>
      <c r="CHC18" s="24"/>
      <c r="CHE18" s="24"/>
      <c r="CHG18" s="24"/>
      <c r="CHI18" s="24"/>
      <c r="CHK18" s="24"/>
      <c r="CHM18" s="24"/>
      <c r="CHO18" s="24"/>
      <c r="CHQ18" s="24"/>
      <c r="CHS18" s="24"/>
      <c r="CHU18" s="24"/>
      <c r="CHW18" s="24"/>
      <c r="CHY18" s="24"/>
      <c r="CIA18" s="24"/>
      <c r="CIC18" s="24"/>
      <c r="CIE18" s="24"/>
      <c r="CIG18" s="24"/>
      <c r="CII18" s="24"/>
      <c r="CIK18" s="24"/>
      <c r="CIM18" s="24"/>
      <c r="CIO18" s="24"/>
      <c r="CIQ18" s="24"/>
      <c r="CIS18" s="24"/>
      <c r="CIU18" s="24"/>
      <c r="CIW18" s="24"/>
      <c r="CIY18" s="24"/>
      <c r="CJA18" s="24"/>
      <c r="CJC18" s="24"/>
      <c r="CJE18" s="24"/>
      <c r="CJG18" s="24"/>
      <c r="CJI18" s="24"/>
      <c r="CJK18" s="24"/>
      <c r="CJM18" s="24"/>
      <c r="CJO18" s="24"/>
      <c r="CJQ18" s="24"/>
      <c r="CJS18" s="24"/>
      <c r="CJU18" s="24"/>
      <c r="CJW18" s="24"/>
      <c r="CJY18" s="24"/>
      <c r="CKA18" s="24"/>
      <c r="CKC18" s="24"/>
      <c r="CKE18" s="24"/>
      <c r="CKG18" s="24"/>
      <c r="CKI18" s="24"/>
      <c r="CKK18" s="24"/>
      <c r="CKM18" s="24"/>
      <c r="CKO18" s="24"/>
      <c r="CKQ18" s="24"/>
      <c r="CKS18" s="24"/>
      <c r="CKU18" s="24"/>
      <c r="CKW18" s="24"/>
      <c r="CKY18" s="24"/>
      <c r="CLA18" s="24"/>
      <c r="CLC18" s="24"/>
      <c r="CLE18" s="24"/>
      <c r="CLG18" s="24"/>
      <c r="CLI18" s="24"/>
      <c r="CLK18" s="24"/>
      <c r="CLM18" s="24"/>
      <c r="CLO18" s="24"/>
      <c r="CLQ18" s="24"/>
      <c r="CLS18" s="24"/>
      <c r="CLU18" s="24"/>
      <c r="CLW18" s="24"/>
      <c r="CLY18" s="24"/>
      <c r="CMA18" s="24"/>
      <c r="CMC18" s="24"/>
      <c r="CME18" s="24"/>
      <c r="CMG18" s="24"/>
      <c r="CMI18" s="24"/>
      <c r="CMK18" s="24"/>
      <c r="CMM18" s="24"/>
      <c r="CMO18" s="24"/>
      <c r="CMQ18" s="24"/>
      <c r="CMS18" s="24"/>
      <c r="CMU18" s="24"/>
      <c r="CMW18" s="24"/>
      <c r="CMY18" s="24"/>
      <c r="CNA18" s="24"/>
      <c r="CNC18" s="24"/>
      <c r="CNE18" s="24"/>
      <c r="CNG18" s="24"/>
      <c r="CNI18" s="24"/>
      <c r="CNK18" s="24"/>
      <c r="CNM18" s="24"/>
      <c r="CNO18" s="24"/>
      <c r="CNQ18" s="24"/>
      <c r="CNS18" s="24"/>
      <c r="CNU18" s="24"/>
      <c r="CNW18" s="24"/>
      <c r="CNY18" s="24"/>
      <c r="COA18" s="24"/>
      <c r="COC18" s="24"/>
      <c r="COE18" s="24"/>
      <c r="COG18" s="24"/>
      <c r="COI18" s="24"/>
      <c r="COK18" s="24"/>
      <c r="COM18" s="24"/>
      <c r="COO18" s="24"/>
      <c r="COQ18" s="24"/>
      <c r="COS18" s="24"/>
      <c r="COU18" s="24"/>
      <c r="COW18" s="24"/>
      <c r="COY18" s="24"/>
      <c r="CPA18" s="24"/>
      <c r="CPC18" s="24"/>
      <c r="CPE18" s="24"/>
      <c r="CPG18" s="24"/>
      <c r="CPI18" s="24"/>
      <c r="CPK18" s="24"/>
      <c r="CPM18" s="24"/>
      <c r="CPO18" s="24"/>
      <c r="CPQ18" s="24"/>
      <c r="CPS18" s="24"/>
      <c r="CPU18" s="24"/>
      <c r="CPW18" s="24"/>
      <c r="CPY18" s="24"/>
      <c r="CQA18" s="24"/>
      <c r="CQC18" s="24"/>
      <c r="CQE18" s="24"/>
      <c r="CQG18" s="24"/>
      <c r="CQI18" s="24"/>
      <c r="CQK18" s="24"/>
      <c r="CQM18" s="24"/>
      <c r="CQO18" s="24"/>
      <c r="CQQ18" s="24"/>
      <c r="CQS18" s="24"/>
      <c r="CQU18" s="24"/>
      <c r="CQW18" s="24"/>
      <c r="CQY18" s="24"/>
      <c r="CRA18" s="24"/>
      <c r="CRC18" s="24"/>
      <c r="CRE18" s="24"/>
      <c r="CRG18" s="24"/>
      <c r="CRI18" s="24"/>
      <c r="CRK18" s="24"/>
      <c r="CRM18" s="24"/>
      <c r="CRO18" s="24"/>
      <c r="CRQ18" s="24"/>
      <c r="CRS18" s="24"/>
      <c r="CRU18" s="24"/>
      <c r="CRW18" s="24"/>
      <c r="CRY18" s="24"/>
      <c r="CSA18" s="24"/>
      <c r="CSC18" s="24"/>
      <c r="CSE18" s="24"/>
      <c r="CSG18" s="24"/>
      <c r="CSI18" s="24"/>
      <c r="CSK18" s="24"/>
      <c r="CSM18" s="24"/>
      <c r="CSO18" s="24"/>
      <c r="CSQ18" s="24"/>
      <c r="CSS18" s="24"/>
      <c r="CSU18" s="24"/>
      <c r="CSW18" s="24"/>
      <c r="CSY18" s="24"/>
      <c r="CTA18" s="24"/>
      <c r="CTC18" s="24"/>
      <c r="CTE18" s="24"/>
      <c r="CTG18" s="24"/>
      <c r="CTI18" s="24"/>
      <c r="CTK18" s="24"/>
      <c r="CTM18" s="24"/>
      <c r="CTO18" s="24"/>
      <c r="CTQ18" s="24"/>
      <c r="CTS18" s="24"/>
      <c r="CTU18" s="24"/>
      <c r="CTW18" s="24"/>
      <c r="CTY18" s="24"/>
      <c r="CUA18" s="24"/>
      <c r="CUC18" s="24"/>
      <c r="CUE18" s="24"/>
      <c r="CUG18" s="24"/>
      <c r="CUI18" s="24"/>
      <c r="CUK18" s="24"/>
      <c r="CUM18" s="24"/>
      <c r="CUO18" s="24"/>
      <c r="CUQ18" s="24"/>
      <c r="CUS18" s="24"/>
      <c r="CUU18" s="24"/>
      <c r="CUW18" s="24"/>
      <c r="CUY18" s="24"/>
      <c r="CVA18" s="24"/>
      <c r="CVC18" s="24"/>
      <c r="CVE18" s="24"/>
      <c r="CVG18" s="24"/>
      <c r="CVI18" s="24"/>
      <c r="CVK18" s="24"/>
      <c r="CVM18" s="24"/>
      <c r="CVO18" s="24"/>
      <c r="CVQ18" s="24"/>
      <c r="CVS18" s="24"/>
      <c r="CVU18" s="24"/>
      <c r="CVW18" s="24"/>
      <c r="CVY18" s="24"/>
      <c r="CWA18" s="24"/>
      <c r="CWC18" s="24"/>
      <c r="CWE18" s="24"/>
      <c r="CWG18" s="24"/>
      <c r="CWI18" s="24"/>
      <c r="CWK18" s="24"/>
      <c r="CWM18" s="24"/>
      <c r="CWO18" s="24"/>
      <c r="CWQ18" s="24"/>
      <c r="CWS18" s="24"/>
      <c r="CWU18" s="24"/>
      <c r="CWW18" s="24"/>
      <c r="CWY18" s="24"/>
      <c r="CXA18" s="24"/>
      <c r="CXC18" s="24"/>
      <c r="CXE18" s="24"/>
      <c r="CXG18" s="24"/>
      <c r="CXI18" s="24"/>
      <c r="CXK18" s="24"/>
      <c r="CXM18" s="24"/>
      <c r="CXO18" s="24"/>
      <c r="CXQ18" s="24"/>
      <c r="CXS18" s="24"/>
      <c r="CXU18" s="24"/>
      <c r="CXW18" s="24"/>
      <c r="CXY18" s="24"/>
      <c r="CYA18" s="24"/>
      <c r="CYC18" s="24"/>
      <c r="CYE18" s="24"/>
      <c r="CYG18" s="24"/>
      <c r="CYI18" s="24"/>
      <c r="CYK18" s="24"/>
      <c r="CYM18" s="24"/>
      <c r="CYO18" s="24"/>
      <c r="CYQ18" s="24"/>
      <c r="CYS18" s="24"/>
      <c r="CYU18" s="24"/>
      <c r="CYW18" s="24"/>
      <c r="CYY18" s="24"/>
      <c r="CZA18" s="24"/>
      <c r="CZC18" s="24"/>
      <c r="CZE18" s="24"/>
      <c r="CZG18" s="24"/>
      <c r="CZI18" s="24"/>
      <c r="CZK18" s="24"/>
      <c r="CZM18" s="24"/>
      <c r="CZO18" s="24"/>
      <c r="CZQ18" s="24"/>
      <c r="CZS18" s="24"/>
      <c r="CZU18" s="24"/>
      <c r="CZW18" s="24"/>
      <c r="CZY18" s="24"/>
      <c r="DAA18" s="24"/>
      <c r="DAC18" s="24"/>
      <c r="DAE18" s="24"/>
      <c r="DAG18" s="24"/>
      <c r="DAI18" s="24"/>
      <c r="DAK18" s="24"/>
      <c r="DAM18" s="24"/>
      <c r="DAO18" s="24"/>
      <c r="DAQ18" s="24"/>
      <c r="DAS18" s="24"/>
      <c r="DAU18" s="24"/>
      <c r="DAW18" s="24"/>
      <c r="DAY18" s="24"/>
      <c r="DBA18" s="24"/>
      <c r="DBC18" s="24"/>
      <c r="DBE18" s="24"/>
      <c r="DBG18" s="24"/>
      <c r="DBI18" s="24"/>
      <c r="DBK18" s="24"/>
      <c r="DBM18" s="24"/>
      <c r="DBO18" s="24"/>
      <c r="DBQ18" s="24"/>
      <c r="DBS18" s="24"/>
      <c r="DBU18" s="24"/>
      <c r="DBW18" s="24"/>
      <c r="DBY18" s="24"/>
      <c r="DCA18" s="24"/>
      <c r="DCC18" s="24"/>
      <c r="DCE18" s="24"/>
      <c r="DCG18" s="24"/>
      <c r="DCI18" s="24"/>
      <c r="DCK18" s="24"/>
      <c r="DCM18" s="24"/>
      <c r="DCO18" s="24"/>
      <c r="DCQ18" s="24"/>
      <c r="DCS18" s="24"/>
      <c r="DCU18" s="24"/>
      <c r="DCW18" s="24"/>
      <c r="DCY18" s="24"/>
      <c r="DDA18" s="24"/>
      <c r="DDC18" s="24"/>
      <c r="DDE18" s="24"/>
      <c r="DDG18" s="24"/>
      <c r="DDI18" s="24"/>
      <c r="DDK18" s="24"/>
      <c r="DDM18" s="24"/>
      <c r="DDO18" s="24"/>
      <c r="DDQ18" s="24"/>
      <c r="DDS18" s="24"/>
      <c r="DDU18" s="24"/>
      <c r="DDW18" s="24"/>
      <c r="DDY18" s="24"/>
      <c r="DEA18" s="24"/>
      <c r="DEC18" s="24"/>
      <c r="DEE18" s="24"/>
      <c r="DEG18" s="24"/>
      <c r="DEI18" s="24"/>
      <c r="DEK18" s="24"/>
      <c r="DEM18" s="24"/>
      <c r="DEO18" s="24"/>
      <c r="DEQ18" s="24"/>
      <c r="DES18" s="24"/>
      <c r="DEU18" s="24"/>
      <c r="DEW18" s="24"/>
      <c r="DEY18" s="24"/>
      <c r="DFA18" s="24"/>
      <c r="DFC18" s="24"/>
      <c r="DFE18" s="24"/>
      <c r="DFG18" s="24"/>
      <c r="DFI18" s="24"/>
      <c r="DFK18" s="24"/>
      <c r="DFM18" s="24"/>
      <c r="DFO18" s="24"/>
      <c r="DFQ18" s="24"/>
      <c r="DFS18" s="24"/>
      <c r="DFU18" s="24"/>
      <c r="DFW18" s="24"/>
      <c r="DFY18" s="24"/>
      <c r="DGA18" s="24"/>
      <c r="DGC18" s="24"/>
      <c r="DGE18" s="24"/>
      <c r="DGG18" s="24"/>
      <c r="DGI18" s="24"/>
      <c r="DGK18" s="24"/>
      <c r="DGM18" s="24"/>
      <c r="DGO18" s="24"/>
      <c r="DGQ18" s="24"/>
      <c r="DGS18" s="24"/>
      <c r="DGU18" s="24"/>
      <c r="DGW18" s="24"/>
      <c r="DGY18" s="24"/>
      <c r="DHA18" s="24"/>
      <c r="DHC18" s="24"/>
      <c r="DHE18" s="24"/>
      <c r="DHG18" s="24"/>
      <c r="DHI18" s="24"/>
      <c r="DHK18" s="24"/>
      <c r="DHM18" s="24"/>
      <c r="DHO18" s="24"/>
      <c r="DHQ18" s="24"/>
      <c r="DHS18" s="24"/>
      <c r="DHU18" s="24"/>
      <c r="DHW18" s="24"/>
      <c r="DHY18" s="24"/>
      <c r="DIA18" s="24"/>
      <c r="DIC18" s="24"/>
      <c r="DIE18" s="24"/>
      <c r="DIG18" s="24"/>
      <c r="DII18" s="24"/>
      <c r="DIK18" s="24"/>
      <c r="DIM18" s="24"/>
      <c r="DIO18" s="24"/>
      <c r="DIQ18" s="24"/>
      <c r="DIS18" s="24"/>
      <c r="DIU18" s="24"/>
      <c r="DIW18" s="24"/>
      <c r="DIY18" s="24"/>
      <c r="DJA18" s="24"/>
      <c r="DJC18" s="24"/>
      <c r="DJE18" s="24"/>
      <c r="DJG18" s="24"/>
      <c r="DJI18" s="24"/>
      <c r="DJK18" s="24"/>
      <c r="DJM18" s="24"/>
      <c r="DJO18" s="24"/>
      <c r="DJQ18" s="24"/>
      <c r="DJS18" s="24"/>
      <c r="DJU18" s="24"/>
      <c r="DJW18" s="24"/>
      <c r="DJY18" s="24"/>
      <c r="DKA18" s="24"/>
      <c r="DKC18" s="24"/>
      <c r="DKE18" s="24"/>
      <c r="DKG18" s="24"/>
      <c r="DKI18" s="24"/>
      <c r="DKK18" s="24"/>
      <c r="DKM18" s="24"/>
      <c r="DKO18" s="24"/>
      <c r="DKQ18" s="24"/>
      <c r="DKS18" s="24"/>
      <c r="DKU18" s="24"/>
      <c r="DKW18" s="24"/>
      <c r="DKY18" s="24"/>
      <c r="DLA18" s="24"/>
      <c r="DLC18" s="24"/>
      <c r="DLE18" s="24"/>
      <c r="DLG18" s="24"/>
      <c r="DLI18" s="24"/>
      <c r="DLK18" s="24"/>
      <c r="DLM18" s="24"/>
      <c r="DLO18" s="24"/>
      <c r="DLQ18" s="24"/>
      <c r="DLS18" s="24"/>
      <c r="DLU18" s="24"/>
      <c r="DLW18" s="24"/>
      <c r="DLY18" s="24"/>
      <c r="DMA18" s="24"/>
      <c r="DMC18" s="24"/>
      <c r="DME18" s="24"/>
      <c r="DMG18" s="24"/>
      <c r="DMI18" s="24"/>
      <c r="DMK18" s="24"/>
      <c r="DMM18" s="24"/>
      <c r="DMO18" s="24"/>
      <c r="DMQ18" s="24"/>
      <c r="DMS18" s="24"/>
      <c r="DMU18" s="24"/>
      <c r="DMW18" s="24"/>
      <c r="DMY18" s="24"/>
      <c r="DNA18" s="24"/>
      <c r="DNC18" s="24"/>
      <c r="DNE18" s="24"/>
      <c r="DNG18" s="24"/>
      <c r="DNI18" s="24"/>
      <c r="DNK18" s="24"/>
      <c r="DNM18" s="24"/>
      <c r="DNO18" s="24"/>
      <c r="DNQ18" s="24"/>
      <c r="DNS18" s="24"/>
      <c r="DNU18" s="24"/>
      <c r="DNW18" s="24"/>
      <c r="DNY18" s="24"/>
      <c r="DOA18" s="24"/>
      <c r="DOC18" s="24"/>
      <c r="DOE18" s="24"/>
      <c r="DOG18" s="24"/>
      <c r="DOI18" s="24"/>
      <c r="DOK18" s="24"/>
      <c r="DOM18" s="24"/>
      <c r="DOO18" s="24"/>
      <c r="DOQ18" s="24"/>
      <c r="DOS18" s="24"/>
      <c r="DOU18" s="24"/>
      <c r="DOW18" s="24"/>
      <c r="DOY18" s="24"/>
      <c r="DPA18" s="24"/>
      <c r="DPC18" s="24"/>
      <c r="DPE18" s="24"/>
      <c r="DPG18" s="24"/>
      <c r="DPI18" s="24"/>
      <c r="DPK18" s="24"/>
      <c r="DPM18" s="24"/>
      <c r="DPO18" s="24"/>
      <c r="DPQ18" s="24"/>
      <c r="DPS18" s="24"/>
      <c r="DPU18" s="24"/>
      <c r="DPW18" s="24"/>
      <c r="DPY18" s="24"/>
      <c r="DQA18" s="24"/>
      <c r="DQC18" s="24"/>
      <c r="DQE18" s="24"/>
      <c r="DQG18" s="24"/>
      <c r="DQI18" s="24"/>
      <c r="DQK18" s="24"/>
      <c r="DQM18" s="24"/>
      <c r="DQO18" s="24"/>
      <c r="DQQ18" s="24"/>
      <c r="DQS18" s="24"/>
      <c r="DQU18" s="24"/>
      <c r="DQW18" s="24"/>
      <c r="DQY18" s="24"/>
      <c r="DRA18" s="24"/>
      <c r="DRC18" s="24"/>
      <c r="DRE18" s="24"/>
      <c r="DRG18" s="24"/>
      <c r="DRI18" s="24"/>
      <c r="DRK18" s="24"/>
      <c r="DRM18" s="24"/>
      <c r="DRO18" s="24"/>
      <c r="DRQ18" s="24"/>
      <c r="DRS18" s="24"/>
      <c r="DRU18" s="24"/>
      <c r="DRW18" s="24"/>
      <c r="DRY18" s="24"/>
      <c r="DSA18" s="24"/>
      <c r="DSC18" s="24"/>
      <c r="DSE18" s="24"/>
      <c r="DSG18" s="24"/>
      <c r="DSI18" s="24"/>
      <c r="DSK18" s="24"/>
      <c r="DSM18" s="24"/>
      <c r="DSO18" s="24"/>
      <c r="DSQ18" s="24"/>
      <c r="DSS18" s="24"/>
      <c r="DSU18" s="24"/>
      <c r="DSW18" s="24"/>
      <c r="DSY18" s="24"/>
      <c r="DTA18" s="24"/>
      <c r="DTC18" s="24"/>
      <c r="DTE18" s="24"/>
      <c r="DTG18" s="24"/>
      <c r="DTI18" s="24"/>
      <c r="DTK18" s="24"/>
      <c r="DTM18" s="24"/>
      <c r="DTO18" s="24"/>
      <c r="DTQ18" s="24"/>
      <c r="DTS18" s="24"/>
      <c r="DTU18" s="24"/>
      <c r="DTW18" s="24"/>
      <c r="DTY18" s="24"/>
      <c r="DUA18" s="24"/>
      <c r="DUC18" s="24"/>
      <c r="DUE18" s="24"/>
      <c r="DUG18" s="24"/>
      <c r="DUI18" s="24"/>
      <c r="DUK18" s="24"/>
      <c r="DUM18" s="24"/>
      <c r="DUO18" s="24"/>
      <c r="DUQ18" s="24"/>
      <c r="DUS18" s="24"/>
      <c r="DUU18" s="24"/>
      <c r="DUW18" s="24"/>
      <c r="DUY18" s="24"/>
      <c r="DVA18" s="24"/>
      <c r="DVC18" s="24"/>
      <c r="DVE18" s="24"/>
      <c r="DVG18" s="24"/>
      <c r="DVI18" s="24"/>
      <c r="DVK18" s="24"/>
      <c r="DVM18" s="24"/>
      <c r="DVO18" s="24"/>
      <c r="DVQ18" s="24"/>
      <c r="DVS18" s="24"/>
      <c r="DVU18" s="24"/>
      <c r="DVW18" s="24"/>
      <c r="DVY18" s="24"/>
      <c r="DWA18" s="24"/>
      <c r="DWC18" s="24"/>
      <c r="DWE18" s="24"/>
      <c r="DWG18" s="24"/>
      <c r="DWI18" s="24"/>
      <c r="DWK18" s="24"/>
      <c r="DWM18" s="24"/>
      <c r="DWO18" s="24"/>
      <c r="DWQ18" s="24"/>
      <c r="DWS18" s="24"/>
      <c r="DWU18" s="24"/>
      <c r="DWW18" s="24"/>
      <c r="DWY18" s="24"/>
      <c r="DXA18" s="24"/>
      <c r="DXC18" s="24"/>
      <c r="DXE18" s="24"/>
      <c r="DXG18" s="24"/>
      <c r="DXI18" s="24"/>
      <c r="DXK18" s="24"/>
      <c r="DXM18" s="24"/>
      <c r="DXO18" s="24"/>
      <c r="DXQ18" s="24"/>
      <c r="DXS18" s="24"/>
      <c r="DXU18" s="24"/>
      <c r="DXW18" s="24"/>
      <c r="DXY18" s="24"/>
      <c r="DYA18" s="24"/>
      <c r="DYC18" s="24"/>
      <c r="DYE18" s="24"/>
      <c r="DYG18" s="24"/>
      <c r="DYI18" s="24"/>
      <c r="DYK18" s="24"/>
      <c r="DYM18" s="24"/>
      <c r="DYO18" s="24"/>
      <c r="DYQ18" s="24"/>
      <c r="DYS18" s="24"/>
      <c r="DYU18" s="24"/>
      <c r="DYW18" s="24"/>
      <c r="DYY18" s="24"/>
      <c r="DZA18" s="24"/>
      <c r="DZC18" s="24"/>
      <c r="DZE18" s="24"/>
      <c r="DZG18" s="24"/>
      <c r="DZI18" s="24"/>
      <c r="DZK18" s="24"/>
      <c r="DZM18" s="24"/>
      <c r="DZO18" s="24"/>
      <c r="DZQ18" s="24"/>
      <c r="DZS18" s="24"/>
      <c r="DZU18" s="24"/>
      <c r="DZW18" s="24"/>
      <c r="DZY18" s="24"/>
      <c r="EAA18" s="24"/>
      <c r="EAC18" s="24"/>
      <c r="EAE18" s="24"/>
      <c r="EAG18" s="24"/>
      <c r="EAI18" s="24"/>
      <c r="EAK18" s="24"/>
      <c r="EAM18" s="24"/>
      <c r="EAO18" s="24"/>
      <c r="EAQ18" s="24"/>
      <c r="EAS18" s="24"/>
      <c r="EAU18" s="24"/>
      <c r="EAW18" s="24"/>
      <c r="EAY18" s="24"/>
      <c r="EBA18" s="24"/>
      <c r="EBC18" s="24"/>
      <c r="EBE18" s="24"/>
      <c r="EBG18" s="24"/>
      <c r="EBI18" s="24"/>
      <c r="EBK18" s="24"/>
      <c r="EBM18" s="24"/>
      <c r="EBO18" s="24"/>
      <c r="EBQ18" s="24"/>
      <c r="EBS18" s="24"/>
      <c r="EBU18" s="24"/>
      <c r="EBW18" s="24"/>
      <c r="EBY18" s="24"/>
      <c r="ECA18" s="24"/>
      <c r="ECC18" s="24"/>
      <c r="ECE18" s="24"/>
      <c r="ECG18" s="24"/>
      <c r="ECI18" s="24"/>
      <c r="ECK18" s="24"/>
      <c r="ECM18" s="24"/>
      <c r="ECO18" s="24"/>
      <c r="ECQ18" s="24"/>
      <c r="ECS18" s="24"/>
      <c r="ECU18" s="24"/>
      <c r="ECW18" s="24"/>
      <c r="ECY18" s="24"/>
      <c r="EDA18" s="24"/>
      <c r="EDC18" s="24"/>
      <c r="EDE18" s="24"/>
      <c r="EDG18" s="24"/>
      <c r="EDI18" s="24"/>
      <c r="EDK18" s="24"/>
      <c r="EDM18" s="24"/>
      <c r="EDO18" s="24"/>
      <c r="EDQ18" s="24"/>
      <c r="EDS18" s="24"/>
      <c r="EDU18" s="24"/>
      <c r="EDW18" s="24"/>
      <c r="EDY18" s="24"/>
      <c r="EEA18" s="24"/>
      <c r="EEC18" s="24"/>
      <c r="EEE18" s="24"/>
      <c r="EEG18" s="24"/>
      <c r="EEI18" s="24"/>
      <c r="EEK18" s="24"/>
      <c r="EEM18" s="24"/>
      <c r="EEO18" s="24"/>
      <c r="EEQ18" s="24"/>
      <c r="EES18" s="24"/>
      <c r="EEU18" s="24"/>
      <c r="EEW18" s="24"/>
      <c r="EEY18" s="24"/>
      <c r="EFA18" s="24"/>
      <c r="EFC18" s="24"/>
      <c r="EFE18" s="24"/>
      <c r="EFG18" s="24"/>
      <c r="EFI18" s="24"/>
      <c r="EFK18" s="24"/>
      <c r="EFM18" s="24"/>
      <c r="EFO18" s="24"/>
      <c r="EFQ18" s="24"/>
      <c r="EFS18" s="24"/>
      <c r="EFU18" s="24"/>
      <c r="EFW18" s="24"/>
      <c r="EFY18" s="24"/>
      <c r="EGA18" s="24"/>
      <c r="EGC18" s="24"/>
      <c r="EGE18" s="24"/>
      <c r="EGG18" s="24"/>
      <c r="EGI18" s="24"/>
      <c r="EGK18" s="24"/>
      <c r="EGM18" s="24"/>
      <c r="EGO18" s="24"/>
      <c r="EGQ18" s="24"/>
      <c r="EGS18" s="24"/>
      <c r="EGU18" s="24"/>
      <c r="EGW18" s="24"/>
      <c r="EGY18" s="24"/>
      <c r="EHA18" s="24"/>
      <c r="EHC18" s="24"/>
      <c r="EHE18" s="24"/>
      <c r="EHG18" s="24"/>
      <c r="EHI18" s="24"/>
      <c r="EHK18" s="24"/>
      <c r="EHM18" s="24"/>
      <c r="EHO18" s="24"/>
      <c r="EHQ18" s="24"/>
      <c r="EHS18" s="24"/>
      <c r="EHU18" s="24"/>
      <c r="EHW18" s="24"/>
      <c r="EHY18" s="24"/>
      <c r="EIA18" s="24"/>
      <c r="EIC18" s="24"/>
      <c r="EIE18" s="24"/>
      <c r="EIG18" s="24"/>
      <c r="EII18" s="24"/>
      <c r="EIK18" s="24"/>
      <c r="EIM18" s="24"/>
      <c r="EIO18" s="24"/>
      <c r="EIQ18" s="24"/>
      <c r="EIS18" s="24"/>
      <c r="EIU18" s="24"/>
      <c r="EIW18" s="24"/>
      <c r="EIY18" s="24"/>
      <c r="EJA18" s="24"/>
      <c r="EJC18" s="24"/>
      <c r="EJE18" s="24"/>
      <c r="EJG18" s="24"/>
      <c r="EJI18" s="24"/>
      <c r="EJK18" s="24"/>
      <c r="EJM18" s="24"/>
      <c r="EJO18" s="24"/>
      <c r="EJQ18" s="24"/>
      <c r="EJS18" s="24"/>
      <c r="EJU18" s="24"/>
      <c r="EJW18" s="24"/>
      <c r="EJY18" s="24"/>
      <c r="EKA18" s="24"/>
      <c r="EKC18" s="24"/>
      <c r="EKE18" s="24"/>
      <c r="EKG18" s="24"/>
      <c r="EKI18" s="24"/>
      <c r="EKK18" s="24"/>
      <c r="EKM18" s="24"/>
      <c r="EKO18" s="24"/>
      <c r="EKQ18" s="24"/>
      <c r="EKS18" s="24"/>
      <c r="EKU18" s="24"/>
      <c r="EKW18" s="24"/>
      <c r="EKY18" s="24"/>
      <c r="ELA18" s="24"/>
      <c r="ELC18" s="24"/>
      <c r="ELE18" s="24"/>
      <c r="ELG18" s="24"/>
      <c r="ELI18" s="24"/>
      <c r="ELK18" s="24"/>
      <c r="ELM18" s="24"/>
      <c r="ELO18" s="24"/>
      <c r="ELQ18" s="24"/>
      <c r="ELS18" s="24"/>
      <c r="ELU18" s="24"/>
      <c r="ELW18" s="24"/>
      <c r="ELY18" s="24"/>
      <c r="EMA18" s="24"/>
      <c r="EMC18" s="24"/>
      <c r="EME18" s="24"/>
      <c r="EMG18" s="24"/>
      <c r="EMI18" s="24"/>
      <c r="EMK18" s="24"/>
      <c r="EMM18" s="24"/>
      <c r="EMO18" s="24"/>
      <c r="EMQ18" s="24"/>
      <c r="EMS18" s="24"/>
      <c r="EMU18" s="24"/>
      <c r="EMW18" s="24"/>
      <c r="EMY18" s="24"/>
      <c r="ENA18" s="24"/>
      <c r="ENC18" s="24"/>
      <c r="ENE18" s="24"/>
      <c r="ENG18" s="24"/>
      <c r="ENI18" s="24"/>
      <c r="ENK18" s="24"/>
      <c r="ENM18" s="24"/>
      <c r="ENO18" s="24"/>
      <c r="ENQ18" s="24"/>
      <c r="ENS18" s="24"/>
      <c r="ENU18" s="24"/>
      <c r="ENW18" s="24"/>
      <c r="ENY18" s="24"/>
      <c r="EOA18" s="24"/>
      <c r="EOC18" s="24"/>
      <c r="EOE18" s="24"/>
      <c r="EOG18" s="24"/>
      <c r="EOI18" s="24"/>
      <c r="EOK18" s="24"/>
      <c r="EOM18" s="24"/>
      <c r="EOO18" s="24"/>
      <c r="EOQ18" s="24"/>
      <c r="EOS18" s="24"/>
      <c r="EOU18" s="24"/>
      <c r="EOW18" s="24"/>
      <c r="EOY18" s="24"/>
      <c r="EPA18" s="24"/>
      <c r="EPC18" s="24"/>
      <c r="EPE18" s="24"/>
      <c r="EPG18" s="24"/>
      <c r="EPI18" s="24"/>
      <c r="EPK18" s="24"/>
      <c r="EPM18" s="24"/>
      <c r="EPO18" s="24"/>
      <c r="EPQ18" s="24"/>
      <c r="EPS18" s="24"/>
      <c r="EPU18" s="24"/>
      <c r="EPW18" s="24"/>
      <c r="EPY18" s="24"/>
      <c r="EQA18" s="24"/>
      <c r="EQC18" s="24"/>
      <c r="EQE18" s="24"/>
      <c r="EQG18" s="24"/>
      <c r="EQI18" s="24"/>
      <c r="EQK18" s="24"/>
      <c r="EQM18" s="24"/>
      <c r="EQO18" s="24"/>
      <c r="EQQ18" s="24"/>
      <c r="EQS18" s="24"/>
      <c r="EQU18" s="24"/>
      <c r="EQW18" s="24"/>
      <c r="EQY18" s="24"/>
      <c r="ERA18" s="24"/>
      <c r="ERC18" s="24"/>
      <c r="ERE18" s="24"/>
      <c r="ERG18" s="24"/>
      <c r="ERI18" s="24"/>
      <c r="ERK18" s="24"/>
      <c r="ERM18" s="24"/>
      <c r="ERO18" s="24"/>
      <c r="ERQ18" s="24"/>
      <c r="ERS18" s="24"/>
      <c r="ERU18" s="24"/>
      <c r="ERW18" s="24"/>
      <c r="ERY18" s="24"/>
      <c r="ESA18" s="24"/>
      <c r="ESC18" s="24"/>
      <c r="ESE18" s="24"/>
      <c r="ESG18" s="24"/>
      <c r="ESI18" s="24"/>
      <c r="ESK18" s="24"/>
      <c r="ESM18" s="24"/>
      <c r="ESO18" s="24"/>
      <c r="ESQ18" s="24"/>
      <c r="ESS18" s="24"/>
      <c r="ESU18" s="24"/>
      <c r="ESW18" s="24"/>
      <c r="ESY18" s="24"/>
      <c r="ETA18" s="24"/>
      <c r="ETC18" s="24"/>
      <c r="ETE18" s="24"/>
      <c r="ETG18" s="24"/>
      <c r="ETI18" s="24"/>
      <c r="ETK18" s="24"/>
      <c r="ETM18" s="24"/>
      <c r="ETO18" s="24"/>
      <c r="ETQ18" s="24"/>
      <c r="ETS18" s="24"/>
      <c r="ETU18" s="24"/>
      <c r="ETW18" s="24"/>
      <c r="ETY18" s="24"/>
      <c r="EUA18" s="24"/>
      <c r="EUC18" s="24"/>
      <c r="EUE18" s="24"/>
      <c r="EUG18" s="24"/>
      <c r="EUI18" s="24"/>
      <c r="EUK18" s="24"/>
      <c r="EUM18" s="24"/>
      <c r="EUO18" s="24"/>
      <c r="EUQ18" s="24"/>
      <c r="EUS18" s="24"/>
      <c r="EUU18" s="24"/>
      <c r="EUW18" s="24"/>
      <c r="EUY18" s="24"/>
      <c r="EVA18" s="24"/>
      <c r="EVC18" s="24"/>
      <c r="EVE18" s="24"/>
      <c r="EVG18" s="24"/>
      <c r="EVI18" s="24"/>
      <c r="EVK18" s="24"/>
      <c r="EVM18" s="24"/>
      <c r="EVO18" s="24"/>
      <c r="EVQ18" s="24"/>
      <c r="EVS18" s="24"/>
      <c r="EVU18" s="24"/>
      <c r="EVW18" s="24"/>
      <c r="EVY18" s="24"/>
      <c r="EWA18" s="24"/>
      <c r="EWC18" s="24"/>
      <c r="EWE18" s="24"/>
      <c r="EWG18" s="24"/>
      <c r="EWI18" s="24"/>
      <c r="EWK18" s="24"/>
      <c r="EWM18" s="24"/>
      <c r="EWO18" s="24"/>
      <c r="EWQ18" s="24"/>
      <c r="EWS18" s="24"/>
      <c r="EWU18" s="24"/>
      <c r="EWW18" s="24"/>
      <c r="EWY18" s="24"/>
      <c r="EXA18" s="24"/>
      <c r="EXC18" s="24"/>
      <c r="EXE18" s="24"/>
      <c r="EXG18" s="24"/>
      <c r="EXI18" s="24"/>
      <c r="EXK18" s="24"/>
      <c r="EXM18" s="24"/>
      <c r="EXO18" s="24"/>
      <c r="EXQ18" s="24"/>
      <c r="EXS18" s="24"/>
      <c r="EXU18" s="24"/>
      <c r="EXW18" s="24"/>
      <c r="EXY18" s="24"/>
      <c r="EYA18" s="24"/>
      <c r="EYC18" s="24"/>
      <c r="EYE18" s="24"/>
      <c r="EYG18" s="24"/>
      <c r="EYI18" s="24"/>
      <c r="EYK18" s="24"/>
      <c r="EYM18" s="24"/>
      <c r="EYO18" s="24"/>
      <c r="EYQ18" s="24"/>
      <c r="EYS18" s="24"/>
      <c r="EYU18" s="24"/>
      <c r="EYW18" s="24"/>
      <c r="EYY18" s="24"/>
      <c r="EZA18" s="24"/>
      <c r="EZC18" s="24"/>
      <c r="EZE18" s="24"/>
      <c r="EZG18" s="24"/>
      <c r="EZI18" s="24"/>
      <c r="EZK18" s="24"/>
      <c r="EZM18" s="24"/>
      <c r="EZO18" s="24"/>
      <c r="EZQ18" s="24"/>
      <c r="EZS18" s="24"/>
      <c r="EZU18" s="24"/>
      <c r="EZW18" s="24"/>
      <c r="EZY18" s="24"/>
      <c r="FAA18" s="24"/>
      <c r="FAC18" s="24"/>
      <c r="FAE18" s="24"/>
      <c r="FAG18" s="24"/>
      <c r="FAI18" s="24"/>
      <c r="FAK18" s="24"/>
      <c r="FAM18" s="24"/>
      <c r="FAO18" s="24"/>
      <c r="FAQ18" s="24"/>
      <c r="FAS18" s="24"/>
      <c r="FAU18" s="24"/>
      <c r="FAW18" s="24"/>
      <c r="FAY18" s="24"/>
      <c r="FBA18" s="24"/>
      <c r="FBC18" s="24"/>
      <c r="FBE18" s="24"/>
      <c r="FBG18" s="24"/>
      <c r="FBI18" s="24"/>
      <c r="FBK18" s="24"/>
      <c r="FBM18" s="24"/>
      <c r="FBO18" s="24"/>
      <c r="FBQ18" s="24"/>
      <c r="FBS18" s="24"/>
      <c r="FBU18" s="24"/>
      <c r="FBW18" s="24"/>
      <c r="FBY18" s="24"/>
      <c r="FCA18" s="24"/>
      <c r="FCC18" s="24"/>
      <c r="FCE18" s="24"/>
      <c r="FCG18" s="24"/>
      <c r="FCI18" s="24"/>
      <c r="FCK18" s="24"/>
      <c r="FCM18" s="24"/>
      <c r="FCO18" s="24"/>
      <c r="FCQ18" s="24"/>
      <c r="FCS18" s="24"/>
      <c r="FCU18" s="24"/>
      <c r="FCW18" s="24"/>
      <c r="FCY18" s="24"/>
      <c r="FDA18" s="24"/>
      <c r="FDC18" s="24"/>
      <c r="FDE18" s="24"/>
      <c r="FDG18" s="24"/>
      <c r="FDI18" s="24"/>
      <c r="FDK18" s="24"/>
      <c r="FDM18" s="24"/>
      <c r="FDO18" s="24"/>
      <c r="FDQ18" s="24"/>
      <c r="FDS18" s="24"/>
      <c r="FDU18" s="24"/>
      <c r="FDW18" s="24"/>
      <c r="FDY18" s="24"/>
      <c r="FEA18" s="24"/>
      <c r="FEC18" s="24"/>
      <c r="FEE18" s="24"/>
      <c r="FEG18" s="24"/>
      <c r="FEI18" s="24"/>
      <c r="FEK18" s="24"/>
      <c r="FEM18" s="24"/>
      <c r="FEO18" s="24"/>
      <c r="FEQ18" s="24"/>
      <c r="FES18" s="24"/>
      <c r="FEU18" s="24"/>
      <c r="FEW18" s="24"/>
      <c r="FEY18" s="24"/>
      <c r="FFA18" s="24"/>
      <c r="FFC18" s="24"/>
      <c r="FFE18" s="24"/>
      <c r="FFG18" s="24"/>
      <c r="FFI18" s="24"/>
      <c r="FFK18" s="24"/>
      <c r="FFM18" s="24"/>
      <c r="FFO18" s="24"/>
      <c r="FFQ18" s="24"/>
      <c r="FFS18" s="24"/>
      <c r="FFU18" s="24"/>
      <c r="FFW18" s="24"/>
      <c r="FFY18" s="24"/>
      <c r="FGA18" s="24"/>
      <c r="FGC18" s="24"/>
      <c r="FGE18" s="24"/>
      <c r="FGG18" s="24"/>
      <c r="FGI18" s="24"/>
      <c r="FGK18" s="24"/>
      <c r="FGM18" s="24"/>
      <c r="FGO18" s="24"/>
      <c r="FGQ18" s="24"/>
      <c r="FGS18" s="24"/>
      <c r="FGU18" s="24"/>
      <c r="FGW18" s="24"/>
      <c r="FGY18" s="24"/>
      <c r="FHA18" s="24"/>
      <c r="FHC18" s="24"/>
      <c r="FHE18" s="24"/>
      <c r="FHG18" s="24"/>
      <c r="FHI18" s="24"/>
      <c r="FHK18" s="24"/>
      <c r="FHM18" s="24"/>
      <c r="FHO18" s="24"/>
      <c r="FHQ18" s="24"/>
      <c r="FHS18" s="24"/>
      <c r="FHU18" s="24"/>
      <c r="FHW18" s="24"/>
      <c r="FHY18" s="24"/>
      <c r="FIA18" s="24"/>
      <c r="FIC18" s="24"/>
      <c r="FIE18" s="24"/>
      <c r="FIG18" s="24"/>
      <c r="FII18" s="24"/>
      <c r="FIK18" s="24"/>
      <c r="FIM18" s="24"/>
      <c r="FIO18" s="24"/>
      <c r="FIQ18" s="24"/>
      <c r="FIS18" s="24"/>
      <c r="FIU18" s="24"/>
      <c r="FIW18" s="24"/>
      <c r="FIY18" s="24"/>
      <c r="FJA18" s="24"/>
      <c r="FJC18" s="24"/>
      <c r="FJE18" s="24"/>
      <c r="FJG18" s="24"/>
      <c r="FJI18" s="24"/>
      <c r="FJK18" s="24"/>
      <c r="FJM18" s="24"/>
      <c r="FJO18" s="24"/>
      <c r="FJQ18" s="24"/>
      <c r="FJS18" s="24"/>
      <c r="FJU18" s="24"/>
      <c r="FJW18" s="24"/>
      <c r="FJY18" s="24"/>
      <c r="FKA18" s="24"/>
      <c r="FKC18" s="24"/>
      <c r="FKE18" s="24"/>
      <c r="FKG18" s="24"/>
      <c r="FKI18" s="24"/>
      <c r="FKK18" s="24"/>
      <c r="FKM18" s="24"/>
      <c r="FKO18" s="24"/>
      <c r="FKQ18" s="24"/>
      <c r="FKS18" s="24"/>
      <c r="FKU18" s="24"/>
      <c r="FKW18" s="24"/>
      <c r="FKY18" s="24"/>
      <c r="FLA18" s="24"/>
      <c r="FLC18" s="24"/>
      <c r="FLE18" s="24"/>
      <c r="FLG18" s="24"/>
      <c r="FLI18" s="24"/>
      <c r="FLK18" s="24"/>
      <c r="FLM18" s="24"/>
      <c r="FLO18" s="24"/>
      <c r="FLQ18" s="24"/>
      <c r="FLS18" s="24"/>
      <c r="FLU18" s="24"/>
      <c r="FLW18" s="24"/>
      <c r="FLY18" s="24"/>
      <c r="FMA18" s="24"/>
      <c r="FMC18" s="24"/>
      <c r="FME18" s="24"/>
      <c r="FMG18" s="24"/>
      <c r="FMI18" s="24"/>
      <c r="FMK18" s="24"/>
      <c r="FMM18" s="24"/>
      <c r="FMO18" s="24"/>
      <c r="FMQ18" s="24"/>
      <c r="FMS18" s="24"/>
      <c r="FMU18" s="24"/>
      <c r="FMW18" s="24"/>
      <c r="FMY18" s="24"/>
      <c r="FNA18" s="24"/>
      <c r="FNC18" s="24"/>
      <c r="FNE18" s="24"/>
      <c r="FNG18" s="24"/>
      <c r="FNI18" s="24"/>
      <c r="FNK18" s="24"/>
      <c r="FNM18" s="24"/>
      <c r="FNO18" s="24"/>
      <c r="FNQ18" s="24"/>
      <c r="FNS18" s="24"/>
      <c r="FNU18" s="24"/>
      <c r="FNW18" s="24"/>
      <c r="FNY18" s="24"/>
      <c r="FOA18" s="24"/>
      <c r="FOC18" s="24"/>
      <c r="FOE18" s="24"/>
      <c r="FOG18" s="24"/>
      <c r="FOI18" s="24"/>
      <c r="FOK18" s="24"/>
      <c r="FOM18" s="24"/>
      <c r="FOO18" s="24"/>
      <c r="FOQ18" s="24"/>
      <c r="FOS18" s="24"/>
      <c r="FOU18" s="24"/>
      <c r="FOW18" s="24"/>
      <c r="FOY18" s="24"/>
      <c r="FPA18" s="24"/>
      <c r="FPC18" s="24"/>
      <c r="FPE18" s="24"/>
      <c r="FPG18" s="24"/>
      <c r="FPI18" s="24"/>
      <c r="FPK18" s="24"/>
      <c r="FPM18" s="24"/>
      <c r="FPO18" s="24"/>
      <c r="FPQ18" s="24"/>
      <c r="FPS18" s="24"/>
      <c r="FPU18" s="24"/>
      <c r="FPW18" s="24"/>
      <c r="FPY18" s="24"/>
      <c r="FQA18" s="24"/>
      <c r="FQC18" s="24"/>
      <c r="FQE18" s="24"/>
      <c r="FQG18" s="24"/>
      <c r="FQI18" s="24"/>
      <c r="FQK18" s="24"/>
      <c r="FQM18" s="24"/>
      <c r="FQO18" s="24"/>
      <c r="FQQ18" s="24"/>
      <c r="FQS18" s="24"/>
      <c r="FQU18" s="24"/>
      <c r="FQW18" s="24"/>
      <c r="FQY18" s="24"/>
      <c r="FRA18" s="24"/>
      <c r="FRC18" s="24"/>
      <c r="FRE18" s="24"/>
      <c r="FRG18" s="24"/>
      <c r="FRI18" s="24"/>
      <c r="FRK18" s="24"/>
      <c r="FRM18" s="24"/>
      <c r="FRO18" s="24"/>
      <c r="FRQ18" s="24"/>
      <c r="FRS18" s="24"/>
      <c r="FRU18" s="24"/>
      <c r="FRW18" s="24"/>
      <c r="FRY18" s="24"/>
      <c r="FSA18" s="24"/>
      <c r="FSC18" s="24"/>
      <c r="FSE18" s="24"/>
      <c r="FSG18" s="24"/>
      <c r="FSI18" s="24"/>
      <c r="FSK18" s="24"/>
      <c r="FSM18" s="24"/>
      <c r="FSO18" s="24"/>
      <c r="FSQ18" s="24"/>
      <c r="FSS18" s="24"/>
      <c r="FSU18" s="24"/>
      <c r="FSW18" s="24"/>
      <c r="FSY18" s="24"/>
      <c r="FTA18" s="24"/>
      <c r="FTC18" s="24"/>
      <c r="FTE18" s="24"/>
      <c r="FTG18" s="24"/>
      <c r="FTI18" s="24"/>
      <c r="FTK18" s="24"/>
      <c r="FTM18" s="24"/>
      <c r="FTO18" s="24"/>
      <c r="FTQ18" s="24"/>
      <c r="FTS18" s="24"/>
      <c r="FTU18" s="24"/>
      <c r="FTW18" s="24"/>
      <c r="FTY18" s="24"/>
      <c r="FUA18" s="24"/>
      <c r="FUC18" s="24"/>
      <c r="FUE18" s="24"/>
      <c r="FUG18" s="24"/>
      <c r="FUI18" s="24"/>
      <c r="FUK18" s="24"/>
      <c r="FUM18" s="24"/>
      <c r="FUO18" s="24"/>
      <c r="FUQ18" s="24"/>
      <c r="FUS18" s="24"/>
      <c r="FUU18" s="24"/>
      <c r="FUW18" s="24"/>
      <c r="FUY18" s="24"/>
      <c r="FVA18" s="24"/>
      <c r="FVC18" s="24"/>
      <c r="FVE18" s="24"/>
      <c r="FVG18" s="24"/>
      <c r="FVI18" s="24"/>
      <c r="FVK18" s="24"/>
      <c r="FVM18" s="24"/>
      <c r="FVO18" s="24"/>
      <c r="FVQ18" s="24"/>
      <c r="FVS18" s="24"/>
      <c r="FVU18" s="24"/>
      <c r="FVW18" s="24"/>
      <c r="FVY18" s="24"/>
      <c r="FWA18" s="24"/>
      <c r="FWC18" s="24"/>
      <c r="FWE18" s="24"/>
      <c r="FWG18" s="24"/>
      <c r="FWI18" s="24"/>
      <c r="FWK18" s="24"/>
      <c r="FWM18" s="24"/>
      <c r="FWO18" s="24"/>
      <c r="FWQ18" s="24"/>
      <c r="FWS18" s="24"/>
      <c r="FWU18" s="24"/>
      <c r="FWW18" s="24"/>
      <c r="FWY18" s="24"/>
      <c r="FXA18" s="24"/>
      <c r="FXC18" s="24"/>
      <c r="FXE18" s="24"/>
      <c r="FXG18" s="24"/>
      <c r="FXI18" s="24"/>
      <c r="FXK18" s="24"/>
      <c r="FXM18" s="24"/>
      <c r="FXO18" s="24"/>
      <c r="FXQ18" s="24"/>
      <c r="FXS18" s="24"/>
      <c r="FXU18" s="24"/>
      <c r="FXW18" s="24"/>
      <c r="FXY18" s="24"/>
      <c r="FYA18" s="24"/>
      <c r="FYC18" s="24"/>
      <c r="FYE18" s="24"/>
      <c r="FYG18" s="24"/>
      <c r="FYI18" s="24"/>
      <c r="FYK18" s="24"/>
      <c r="FYM18" s="24"/>
      <c r="FYO18" s="24"/>
      <c r="FYQ18" s="24"/>
      <c r="FYS18" s="24"/>
      <c r="FYU18" s="24"/>
      <c r="FYW18" s="24"/>
      <c r="FYY18" s="24"/>
      <c r="FZA18" s="24"/>
      <c r="FZC18" s="24"/>
      <c r="FZE18" s="24"/>
      <c r="FZG18" s="24"/>
      <c r="FZI18" s="24"/>
      <c r="FZK18" s="24"/>
      <c r="FZM18" s="24"/>
      <c r="FZO18" s="24"/>
      <c r="FZQ18" s="24"/>
      <c r="FZS18" s="24"/>
      <c r="FZU18" s="24"/>
      <c r="FZW18" s="24"/>
      <c r="FZY18" s="24"/>
      <c r="GAA18" s="24"/>
      <c r="GAC18" s="24"/>
      <c r="GAE18" s="24"/>
      <c r="GAG18" s="24"/>
      <c r="GAI18" s="24"/>
      <c r="GAK18" s="24"/>
      <c r="GAM18" s="24"/>
      <c r="GAO18" s="24"/>
      <c r="GAQ18" s="24"/>
      <c r="GAS18" s="24"/>
      <c r="GAU18" s="24"/>
      <c r="GAW18" s="24"/>
      <c r="GAY18" s="24"/>
      <c r="GBA18" s="24"/>
      <c r="GBC18" s="24"/>
      <c r="GBE18" s="24"/>
      <c r="GBG18" s="24"/>
      <c r="GBI18" s="24"/>
      <c r="GBK18" s="24"/>
      <c r="GBM18" s="24"/>
      <c r="GBO18" s="24"/>
      <c r="GBQ18" s="24"/>
      <c r="GBS18" s="24"/>
      <c r="GBU18" s="24"/>
      <c r="GBW18" s="24"/>
      <c r="GBY18" s="24"/>
      <c r="GCA18" s="24"/>
      <c r="GCC18" s="24"/>
      <c r="GCE18" s="24"/>
      <c r="GCG18" s="24"/>
      <c r="GCI18" s="24"/>
      <c r="GCK18" s="24"/>
      <c r="GCM18" s="24"/>
      <c r="GCO18" s="24"/>
      <c r="GCQ18" s="24"/>
      <c r="GCS18" s="24"/>
      <c r="GCU18" s="24"/>
      <c r="GCW18" s="24"/>
      <c r="GCY18" s="24"/>
      <c r="GDA18" s="24"/>
      <c r="GDC18" s="24"/>
      <c r="GDE18" s="24"/>
      <c r="GDG18" s="24"/>
      <c r="GDI18" s="24"/>
      <c r="GDK18" s="24"/>
      <c r="GDM18" s="24"/>
      <c r="GDO18" s="24"/>
      <c r="GDQ18" s="24"/>
      <c r="GDS18" s="24"/>
      <c r="GDU18" s="24"/>
      <c r="GDW18" s="24"/>
      <c r="GDY18" s="24"/>
      <c r="GEA18" s="24"/>
      <c r="GEC18" s="24"/>
      <c r="GEE18" s="24"/>
      <c r="GEG18" s="24"/>
      <c r="GEI18" s="24"/>
      <c r="GEK18" s="24"/>
      <c r="GEM18" s="24"/>
      <c r="GEO18" s="24"/>
      <c r="GEQ18" s="24"/>
      <c r="GES18" s="24"/>
      <c r="GEU18" s="24"/>
      <c r="GEW18" s="24"/>
      <c r="GEY18" s="24"/>
      <c r="GFA18" s="24"/>
      <c r="GFC18" s="24"/>
      <c r="GFE18" s="24"/>
      <c r="GFG18" s="24"/>
      <c r="GFI18" s="24"/>
      <c r="GFK18" s="24"/>
      <c r="GFM18" s="24"/>
      <c r="GFO18" s="24"/>
      <c r="GFQ18" s="24"/>
      <c r="GFS18" s="24"/>
      <c r="GFU18" s="24"/>
      <c r="GFW18" s="24"/>
      <c r="GFY18" s="24"/>
      <c r="GGA18" s="24"/>
      <c r="GGC18" s="24"/>
      <c r="GGE18" s="24"/>
      <c r="GGG18" s="24"/>
      <c r="GGI18" s="24"/>
      <c r="GGK18" s="24"/>
      <c r="GGM18" s="24"/>
      <c r="GGO18" s="24"/>
      <c r="GGQ18" s="24"/>
      <c r="GGS18" s="24"/>
      <c r="GGU18" s="24"/>
      <c r="GGW18" s="24"/>
      <c r="GGY18" s="24"/>
      <c r="GHA18" s="24"/>
      <c r="GHC18" s="24"/>
      <c r="GHE18" s="24"/>
      <c r="GHG18" s="24"/>
      <c r="GHI18" s="24"/>
      <c r="GHK18" s="24"/>
      <c r="GHM18" s="24"/>
      <c r="GHO18" s="24"/>
      <c r="GHQ18" s="24"/>
      <c r="GHS18" s="24"/>
      <c r="GHU18" s="24"/>
      <c r="GHW18" s="24"/>
      <c r="GHY18" s="24"/>
      <c r="GIA18" s="24"/>
      <c r="GIC18" s="24"/>
      <c r="GIE18" s="24"/>
      <c r="GIG18" s="24"/>
      <c r="GII18" s="24"/>
      <c r="GIK18" s="24"/>
      <c r="GIM18" s="24"/>
      <c r="GIO18" s="24"/>
      <c r="GIQ18" s="24"/>
      <c r="GIS18" s="24"/>
      <c r="GIU18" s="24"/>
      <c r="GIW18" s="24"/>
      <c r="GIY18" s="24"/>
      <c r="GJA18" s="24"/>
      <c r="GJC18" s="24"/>
      <c r="GJE18" s="24"/>
      <c r="GJG18" s="24"/>
      <c r="GJI18" s="24"/>
      <c r="GJK18" s="24"/>
      <c r="GJM18" s="24"/>
      <c r="GJO18" s="24"/>
      <c r="GJQ18" s="24"/>
      <c r="GJS18" s="24"/>
      <c r="GJU18" s="24"/>
      <c r="GJW18" s="24"/>
      <c r="GJY18" s="24"/>
      <c r="GKA18" s="24"/>
      <c r="GKC18" s="24"/>
      <c r="GKE18" s="24"/>
      <c r="GKG18" s="24"/>
      <c r="GKI18" s="24"/>
      <c r="GKK18" s="24"/>
      <c r="GKM18" s="24"/>
      <c r="GKO18" s="24"/>
      <c r="GKQ18" s="24"/>
      <c r="GKS18" s="24"/>
      <c r="GKU18" s="24"/>
      <c r="GKW18" s="24"/>
      <c r="GKY18" s="24"/>
      <c r="GLA18" s="24"/>
      <c r="GLC18" s="24"/>
      <c r="GLE18" s="24"/>
      <c r="GLG18" s="24"/>
      <c r="GLI18" s="24"/>
      <c r="GLK18" s="24"/>
      <c r="GLM18" s="24"/>
      <c r="GLO18" s="24"/>
      <c r="GLQ18" s="24"/>
      <c r="GLS18" s="24"/>
      <c r="GLU18" s="24"/>
      <c r="GLW18" s="24"/>
      <c r="GLY18" s="24"/>
      <c r="GMA18" s="24"/>
      <c r="GMC18" s="24"/>
      <c r="GME18" s="24"/>
      <c r="GMG18" s="24"/>
      <c r="GMI18" s="24"/>
      <c r="GMK18" s="24"/>
      <c r="GMM18" s="24"/>
      <c r="GMO18" s="24"/>
      <c r="GMQ18" s="24"/>
      <c r="GMS18" s="24"/>
      <c r="GMU18" s="24"/>
      <c r="GMW18" s="24"/>
      <c r="GMY18" s="24"/>
      <c r="GNA18" s="24"/>
      <c r="GNC18" s="24"/>
      <c r="GNE18" s="24"/>
      <c r="GNG18" s="24"/>
      <c r="GNI18" s="24"/>
      <c r="GNK18" s="24"/>
      <c r="GNM18" s="24"/>
      <c r="GNO18" s="24"/>
      <c r="GNQ18" s="24"/>
      <c r="GNS18" s="24"/>
      <c r="GNU18" s="24"/>
      <c r="GNW18" s="24"/>
      <c r="GNY18" s="24"/>
      <c r="GOA18" s="24"/>
      <c r="GOC18" s="24"/>
      <c r="GOE18" s="24"/>
      <c r="GOG18" s="24"/>
      <c r="GOI18" s="24"/>
      <c r="GOK18" s="24"/>
      <c r="GOM18" s="24"/>
      <c r="GOO18" s="24"/>
      <c r="GOQ18" s="24"/>
      <c r="GOS18" s="24"/>
      <c r="GOU18" s="24"/>
      <c r="GOW18" s="24"/>
      <c r="GOY18" s="24"/>
      <c r="GPA18" s="24"/>
      <c r="GPC18" s="24"/>
      <c r="GPE18" s="24"/>
      <c r="GPG18" s="24"/>
      <c r="GPI18" s="24"/>
      <c r="GPK18" s="24"/>
      <c r="GPM18" s="24"/>
      <c r="GPO18" s="24"/>
      <c r="GPQ18" s="24"/>
      <c r="GPS18" s="24"/>
      <c r="GPU18" s="24"/>
      <c r="GPW18" s="24"/>
      <c r="GPY18" s="24"/>
      <c r="GQA18" s="24"/>
      <c r="GQC18" s="24"/>
      <c r="GQE18" s="24"/>
      <c r="GQG18" s="24"/>
      <c r="GQI18" s="24"/>
      <c r="GQK18" s="24"/>
      <c r="GQM18" s="24"/>
      <c r="GQO18" s="24"/>
      <c r="GQQ18" s="24"/>
      <c r="GQS18" s="24"/>
      <c r="GQU18" s="24"/>
      <c r="GQW18" s="24"/>
      <c r="GQY18" s="24"/>
      <c r="GRA18" s="24"/>
      <c r="GRC18" s="24"/>
      <c r="GRE18" s="24"/>
      <c r="GRG18" s="24"/>
      <c r="GRI18" s="24"/>
      <c r="GRK18" s="24"/>
      <c r="GRM18" s="24"/>
      <c r="GRO18" s="24"/>
      <c r="GRQ18" s="24"/>
      <c r="GRS18" s="24"/>
      <c r="GRU18" s="24"/>
      <c r="GRW18" s="24"/>
      <c r="GRY18" s="24"/>
      <c r="GSA18" s="24"/>
      <c r="GSC18" s="24"/>
      <c r="GSE18" s="24"/>
      <c r="GSG18" s="24"/>
      <c r="GSI18" s="24"/>
      <c r="GSK18" s="24"/>
      <c r="GSM18" s="24"/>
      <c r="GSO18" s="24"/>
      <c r="GSQ18" s="24"/>
      <c r="GSS18" s="24"/>
      <c r="GSU18" s="24"/>
      <c r="GSW18" s="24"/>
      <c r="GSY18" s="24"/>
      <c r="GTA18" s="24"/>
      <c r="GTC18" s="24"/>
      <c r="GTE18" s="24"/>
      <c r="GTG18" s="24"/>
      <c r="GTI18" s="24"/>
      <c r="GTK18" s="24"/>
      <c r="GTM18" s="24"/>
      <c r="GTO18" s="24"/>
      <c r="GTQ18" s="24"/>
      <c r="GTS18" s="24"/>
      <c r="GTU18" s="24"/>
      <c r="GTW18" s="24"/>
      <c r="GTY18" s="24"/>
      <c r="GUA18" s="24"/>
      <c r="GUC18" s="24"/>
      <c r="GUE18" s="24"/>
      <c r="GUG18" s="24"/>
      <c r="GUI18" s="24"/>
      <c r="GUK18" s="24"/>
      <c r="GUM18" s="24"/>
      <c r="GUO18" s="24"/>
      <c r="GUQ18" s="24"/>
      <c r="GUS18" s="24"/>
      <c r="GUU18" s="24"/>
      <c r="GUW18" s="24"/>
      <c r="GUY18" s="24"/>
      <c r="GVA18" s="24"/>
      <c r="GVC18" s="24"/>
      <c r="GVE18" s="24"/>
      <c r="GVG18" s="24"/>
      <c r="GVI18" s="24"/>
      <c r="GVK18" s="24"/>
      <c r="GVM18" s="24"/>
      <c r="GVO18" s="24"/>
      <c r="GVQ18" s="24"/>
      <c r="GVS18" s="24"/>
      <c r="GVU18" s="24"/>
      <c r="GVW18" s="24"/>
      <c r="GVY18" s="24"/>
      <c r="GWA18" s="24"/>
      <c r="GWC18" s="24"/>
      <c r="GWE18" s="24"/>
      <c r="GWG18" s="24"/>
      <c r="GWI18" s="24"/>
      <c r="GWK18" s="24"/>
      <c r="GWM18" s="24"/>
      <c r="GWO18" s="24"/>
      <c r="GWQ18" s="24"/>
      <c r="GWS18" s="24"/>
      <c r="GWU18" s="24"/>
      <c r="GWW18" s="24"/>
      <c r="GWY18" s="24"/>
      <c r="GXA18" s="24"/>
      <c r="GXC18" s="24"/>
      <c r="GXE18" s="24"/>
      <c r="GXG18" s="24"/>
      <c r="GXI18" s="24"/>
      <c r="GXK18" s="24"/>
      <c r="GXM18" s="24"/>
      <c r="GXO18" s="24"/>
      <c r="GXQ18" s="24"/>
      <c r="GXS18" s="24"/>
      <c r="GXU18" s="24"/>
      <c r="GXW18" s="24"/>
      <c r="GXY18" s="24"/>
      <c r="GYA18" s="24"/>
      <c r="GYC18" s="24"/>
      <c r="GYE18" s="24"/>
      <c r="GYG18" s="24"/>
      <c r="GYI18" s="24"/>
      <c r="GYK18" s="24"/>
      <c r="GYM18" s="24"/>
      <c r="GYO18" s="24"/>
      <c r="GYQ18" s="24"/>
      <c r="GYS18" s="24"/>
      <c r="GYU18" s="24"/>
      <c r="GYW18" s="24"/>
      <c r="GYY18" s="24"/>
      <c r="GZA18" s="24"/>
      <c r="GZC18" s="24"/>
      <c r="GZE18" s="24"/>
      <c r="GZG18" s="24"/>
      <c r="GZI18" s="24"/>
      <c r="GZK18" s="24"/>
      <c r="GZM18" s="24"/>
      <c r="GZO18" s="24"/>
      <c r="GZQ18" s="24"/>
      <c r="GZS18" s="24"/>
      <c r="GZU18" s="24"/>
      <c r="GZW18" s="24"/>
      <c r="GZY18" s="24"/>
      <c r="HAA18" s="24"/>
      <c r="HAC18" s="24"/>
      <c r="HAE18" s="24"/>
      <c r="HAG18" s="24"/>
      <c r="HAI18" s="24"/>
      <c r="HAK18" s="24"/>
      <c r="HAM18" s="24"/>
      <c r="HAO18" s="24"/>
      <c r="HAQ18" s="24"/>
      <c r="HAS18" s="24"/>
      <c r="HAU18" s="24"/>
      <c r="HAW18" s="24"/>
      <c r="HAY18" s="24"/>
      <c r="HBA18" s="24"/>
      <c r="HBC18" s="24"/>
      <c r="HBE18" s="24"/>
      <c r="HBG18" s="24"/>
      <c r="HBI18" s="24"/>
      <c r="HBK18" s="24"/>
      <c r="HBM18" s="24"/>
      <c r="HBO18" s="24"/>
      <c r="HBQ18" s="24"/>
      <c r="HBS18" s="24"/>
      <c r="HBU18" s="24"/>
      <c r="HBW18" s="24"/>
      <c r="HBY18" s="24"/>
      <c r="HCA18" s="24"/>
      <c r="HCC18" s="24"/>
      <c r="HCE18" s="24"/>
      <c r="HCG18" s="24"/>
      <c r="HCI18" s="24"/>
      <c r="HCK18" s="24"/>
      <c r="HCM18" s="24"/>
      <c r="HCO18" s="24"/>
      <c r="HCQ18" s="24"/>
      <c r="HCS18" s="24"/>
      <c r="HCU18" s="24"/>
      <c r="HCW18" s="24"/>
      <c r="HCY18" s="24"/>
      <c r="HDA18" s="24"/>
      <c r="HDC18" s="24"/>
      <c r="HDE18" s="24"/>
      <c r="HDG18" s="24"/>
      <c r="HDI18" s="24"/>
      <c r="HDK18" s="24"/>
      <c r="HDM18" s="24"/>
      <c r="HDO18" s="24"/>
      <c r="HDQ18" s="24"/>
      <c r="HDS18" s="24"/>
      <c r="HDU18" s="24"/>
      <c r="HDW18" s="24"/>
      <c r="HDY18" s="24"/>
      <c r="HEA18" s="24"/>
      <c r="HEC18" s="24"/>
      <c r="HEE18" s="24"/>
      <c r="HEG18" s="24"/>
      <c r="HEI18" s="24"/>
      <c r="HEK18" s="24"/>
      <c r="HEM18" s="24"/>
      <c r="HEO18" s="24"/>
      <c r="HEQ18" s="24"/>
      <c r="HES18" s="24"/>
      <c r="HEU18" s="24"/>
      <c r="HEW18" s="24"/>
      <c r="HEY18" s="24"/>
      <c r="HFA18" s="24"/>
      <c r="HFC18" s="24"/>
      <c r="HFE18" s="24"/>
      <c r="HFG18" s="24"/>
      <c r="HFI18" s="24"/>
      <c r="HFK18" s="24"/>
      <c r="HFM18" s="24"/>
      <c r="HFO18" s="24"/>
      <c r="HFQ18" s="24"/>
      <c r="HFS18" s="24"/>
      <c r="HFU18" s="24"/>
      <c r="HFW18" s="24"/>
      <c r="HFY18" s="24"/>
      <c r="HGA18" s="24"/>
      <c r="HGC18" s="24"/>
      <c r="HGE18" s="24"/>
      <c r="HGG18" s="24"/>
      <c r="HGI18" s="24"/>
      <c r="HGK18" s="24"/>
      <c r="HGM18" s="24"/>
      <c r="HGO18" s="24"/>
      <c r="HGQ18" s="24"/>
      <c r="HGS18" s="24"/>
      <c r="HGU18" s="24"/>
      <c r="HGW18" s="24"/>
      <c r="HGY18" s="24"/>
      <c r="HHA18" s="24"/>
      <c r="HHC18" s="24"/>
      <c r="HHE18" s="24"/>
      <c r="HHG18" s="24"/>
      <c r="HHI18" s="24"/>
      <c r="HHK18" s="24"/>
      <c r="HHM18" s="24"/>
      <c r="HHO18" s="24"/>
      <c r="HHQ18" s="24"/>
      <c r="HHS18" s="24"/>
      <c r="HHU18" s="24"/>
      <c r="HHW18" s="24"/>
      <c r="HHY18" s="24"/>
      <c r="HIA18" s="24"/>
      <c r="HIC18" s="24"/>
      <c r="HIE18" s="24"/>
      <c r="HIG18" s="24"/>
      <c r="HII18" s="24"/>
      <c r="HIK18" s="24"/>
      <c r="HIM18" s="24"/>
      <c r="HIO18" s="24"/>
      <c r="HIQ18" s="24"/>
      <c r="HIS18" s="24"/>
      <c r="HIU18" s="24"/>
      <c r="HIW18" s="24"/>
      <c r="HIY18" s="24"/>
      <c r="HJA18" s="24"/>
      <c r="HJC18" s="24"/>
      <c r="HJE18" s="24"/>
      <c r="HJG18" s="24"/>
      <c r="HJI18" s="24"/>
      <c r="HJK18" s="24"/>
      <c r="HJM18" s="24"/>
      <c r="HJO18" s="24"/>
      <c r="HJQ18" s="24"/>
      <c r="HJS18" s="24"/>
      <c r="HJU18" s="24"/>
      <c r="HJW18" s="24"/>
      <c r="HJY18" s="24"/>
      <c r="HKA18" s="24"/>
      <c r="HKC18" s="24"/>
      <c r="HKE18" s="24"/>
      <c r="HKG18" s="24"/>
      <c r="HKI18" s="24"/>
      <c r="HKK18" s="24"/>
      <c r="HKM18" s="24"/>
      <c r="HKO18" s="24"/>
      <c r="HKQ18" s="24"/>
      <c r="HKS18" s="24"/>
      <c r="HKU18" s="24"/>
      <c r="HKW18" s="24"/>
      <c r="HKY18" s="24"/>
      <c r="HLA18" s="24"/>
      <c r="HLC18" s="24"/>
      <c r="HLE18" s="24"/>
      <c r="HLG18" s="24"/>
      <c r="HLI18" s="24"/>
      <c r="HLK18" s="24"/>
      <c r="HLM18" s="24"/>
      <c r="HLO18" s="24"/>
      <c r="HLQ18" s="24"/>
      <c r="HLS18" s="24"/>
      <c r="HLU18" s="24"/>
      <c r="HLW18" s="24"/>
      <c r="HLY18" s="24"/>
      <c r="HMA18" s="24"/>
      <c r="HMC18" s="24"/>
      <c r="HME18" s="24"/>
      <c r="HMG18" s="24"/>
      <c r="HMI18" s="24"/>
      <c r="HMK18" s="24"/>
      <c r="HMM18" s="24"/>
      <c r="HMO18" s="24"/>
      <c r="HMQ18" s="24"/>
      <c r="HMS18" s="24"/>
      <c r="HMU18" s="24"/>
      <c r="HMW18" s="24"/>
      <c r="HMY18" s="24"/>
      <c r="HNA18" s="24"/>
      <c r="HNC18" s="24"/>
      <c r="HNE18" s="24"/>
      <c r="HNG18" s="24"/>
      <c r="HNI18" s="24"/>
      <c r="HNK18" s="24"/>
      <c r="HNM18" s="24"/>
      <c r="HNO18" s="24"/>
      <c r="HNQ18" s="24"/>
      <c r="HNS18" s="24"/>
      <c r="HNU18" s="24"/>
      <c r="HNW18" s="24"/>
      <c r="HNY18" s="24"/>
      <c r="HOA18" s="24"/>
      <c r="HOC18" s="24"/>
      <c r="HOE18" s="24"/>
      <c r="HOG18" s="24"/>
      <c r="HOI18" s="24"/>
      <c r="HOK18" s="24"/>
      <c r="HOM18" s="24"/>
      <c r="HOO18" s="24"/>
      <c r="HOQ18" s="24"/>
      <c r="HOS18" s="24"/>
      <c r="HOU18" s="24"/>
      <c r="HOW18" s="24"/>
      <c r="HOY18" s="24"/>
      <c r="HPA18" s="24"/>
      <c r="HPC18" s="24"/>
      <c r="HPE18" s="24"/>
      <c r="HPG18" s="24"/>
      <c r="HPI18" s="24"/>
      <c r="HPK18" s="24"/>
      <c r="HPM18" s="24"/>
      <c r="HPO18" s="24"/>
      <c r="HPQ18" s="24"/>
      <c r="HPS18" s="24"/>
      <c r="HPU18" s="24"/>
      <c r="HPW18" s="24"/>
      <c r="HPY18" s="24"/>
      <c r="HQA18" s="24"/>
      <c r="HQC18" s="24"/>
      <c r="HQE18" s="24"/>
      <c r="HQG18" s="24"/>
      <c r="HQI18" s="24"/>
      <c r="HQK18" s="24"/>
      <c r="HQM18" s="24"/>
      <c r="HQO18" s="24"/>
      <c r="HQQ18" s="24"/>
      <c r="HQS18" s="24"/>
      <c r="HQU18" s="24"/>
      <c r="HQW18" s="24"/>
      <c r="HQY18" s="24"/>
      <c r="HRA18" s="24"/>
      <c r="HRC18" s="24"/>
      <c r="HRE18" s="24"/>
      <c r="HRG18" s="24"/>
      <c r="HRI18" s="24"/>
      <c r="HRK18" s="24"/>
      <c r="HRM18" s="24"/>
      <c r="HRO18" s="24"/>
      <c r="HRQ18" s="24"/>
      <c r="HRS18" s="24"/>
      <c r="HRU18" s="24"/>
      <c r="HRW18" s="24"/>
      <c r="HRY18" s="24"/>
      <c r="HSA18" s="24"/>
      <c r="HSC18" s="24"/>
      <c r="HSE18" s="24"/>
      <c r="HSG18" s="24"/>
      <c r="HSI18" s="24"/>
      <c r="HSK18" s="24"/>
      <c r="HSM18" s="24"/>
      <c r="HSO18" s="24"/>
      <c r="HSQ18" s="24"/>
      <c r="HSS18" s="24"/>
      <c r="HSU18" s="24"/>
      <c r="HSW18" s="24"/>
      <c r="HSY18" s="24"/>
      <c r="HTA18" s="24"/>
      <c r="HTC18" s="24"/>
      <c r="HTE18" s="24"/>
      <c r="HTG18" s="24"/>
      <c r="HTI18" s="24"/>
      <c r="HTK18" s="24"/>
      <c r="HTM18" s="24"/>
      <c r="HTO18" s="24"/>
      <c r="HTQ18" s="24"/>
      <c r="HTS18" s="24"/>
      <c r="HTU18" s="24"/>
      <c r="HTW18" s="24"/>
      <c r="HTY18" s="24"/>
      <c r="HUA18" s="24"/>
      <c r="HUC18" s="24"/>
      <c r="HUE18" s="24"/>
      <c r="HUG18" s="24"/>
      <c r="HUI18" s="24"/>
      <c r="HUK18" s="24"/>
      <c r="HUM18" s="24"/>
      <c r="HUO18" s="24"/>
      <c r="HUQ18" s="24"/>
      <c r="HUS18" s="24"/>
      <c r="HUU18" s="24"/>
      <c r="HUW18" s="24"/>
      <c r="HUY18" s="24"/>
      <c r="HVA18" s="24"/>
      <c r="HVC18" s="24"/>
      <c r="HVE18" s="24"/>
      <c r="HVG18" s="24"/>
      <c r="HVI18" s="24"/>
      <c r="HVK18" s="24"/>
      <c r="HVM18" s="24"/>
      <c r="HVO18" s="24"/>
      <c r="HVQ18" s="24"/>
      <c r="HVS18" s="24"/>
      <c r="HVU18" s="24"/>
      <c r="HVW18" s="24"/>
      <c r="HVY18" s="24"/>
      <c r="HWA18" s="24"/>
      <c r="HWC18" s="24"/>
      <c r="HWE18" s="24"/>
      <c r="HWG18" s="24"/>
      <c r="HWI18" s="24"/>
      <c r="HWK18" s="24"/>
      <c r="HWM18" s="24"/>
      <c r="HWO18" s="24"/>
      <c r="HWQ18" s="24"/>
      <c r="HWS18" s="24"/>
      <c r="HWU18" s="24"/>
      <c r="HWW18" s="24"/>
      <c r="HWY18" s="24"/>
      <c r="HXA18" s="24"/>
      <c r="HXC18" s="24"/>
      <c r="HXE18" s="24"/>
      <c r="HXG18" s="24"/>
      <c r="HXI18" s="24"/>
      <c r="HXK18" s="24"/>
      <c r="HXM18" s="24"/>
      <c r="HXO18" s="24"/>
      <c r="HXQ18" s="24"/>
      <c r="HXS18" s="24"/>
      <c r="HXU18" s="24"/>
      <c r="HXW18" s="24"/>
      <c r="HXY18" s="24"/>
      <c r="HYA18" s="24"/>
      <c r="HYC18" s="24"/>
      <c r="HYE18" s="24"/>
      <c r="HYG18" s="24"/>
      <c r="HYI18" s="24"/>
      <c r="HYK18" s="24"/>
      <c r="HYM18" s="24"/>
      <c r="HYO18" s="24"/>
      <c r="HYQ18" s="24"/>
      <c r="HYS18" s="24"/>
      <c r="HYU18" s="24"/>
      <c r="HYW18" s="24"/>
      <c r="HYY18" s="24"/>
      <c r="HZA18" s="24"/>
      <c r="HZC18" s="24"/>
      <c r="HZE18" s="24"/>
      <c r="HZG18" s="24"/>
      <c r="HZI18" s="24"/>
      <c r="HZK18" s="24"/>
      <c r="HZM18" s="24"/>
      <c r="HZO18" s="24"/>
      <c r="HZQ18" s="24"/>
      <c r="HZS18" s="24"/>
      <c r="HZU18" s="24"/>
      <c r="HZW18" s="24"/>
      <c r="HZY18" s="24"/>
      <c r="IAA18" s="24"/>
      <c r="IAC18" s="24"/>
      <c r="IAE18" s="24"/>
      <c r="IAG18" s="24"/>
      <c r="IAI18" s="24"/>
      <c r="IAK18" s="24"/>
      <c r="IAM18" s="24"/>
      <c r="IAO18" s="24"/>
      <c r="IAQ18" s="24"/>
      <c r="IAS18" s="24"/>
      <c r="IAU18" s="24"/>
      <c r="IAW18" s="24"/>
      <c r="IAY18" s="24"/>
      <c r="IBA18" s="24"/>
      <c r="IBC18" s="24"/>
      <c r="IBE18" s="24"/>
      <c r="IBG18" s="24"/>
      <c r="IBI18" s="24"/>
      <c r="IBK18" s="24"/>
      <c r="IBM18" s="24"/>
      <c r="IBO18" s="24"/>
      <c r="IBQ18" s="24"/>
      <c r="IBS18" s="24"/>
      <c r="IBU18" s="24"/>
      <c r="IBW18" s="24"/>
      <c r="IBY18" s="24"/>
      <c r="ICA18" s="24"/>
      <c r="ICC18" s="24"/>
      <c r="ICE18" s="24"/>
      <c r="ICG18" s="24"/>
      <c r="ICI18" s="24"/>
      <c r="ICK18" s="24"/>
      <c r="ICM18" s="24"/>
      <c r="ICO18" s="24"/>
      <c r="ICQ18" s="24"/>
      <c r="ICS18" s="24"/>
      <c r="ICU18" s="24"/>
      <c r="ICW18" s="24"/>
      <c r="ICY18" s="24"/>
      <c r="IDA18" s="24"/>
      <c r="IDC18" s="24"/>
      <c r="IDE18" s="24"/>
      <c r="IDG18" s="24"/>
      <c r="IDI18" s="24"/>
      <c r="IDK18" s="24"/>
      <c r="IDM18" s="24"/>
      <c r="IDO18" s="24"/>
      <c r="IDQ18" s="24"/>
      <c r="IDS18" s="24"/>
      <c r="IDU18" s="24"/>
      <c r="IDW18" s="24"/>
      <c r="IDY18" s="24"/>
      <c r="IEA18" s="24"/>
      <c r="IEC18" s="24"/>
      <c r="IEE18" s="24"/>
      <c r="IEG18" s="24"/>
      <c r="IEI18" s="24"/>
      <c r="IEK18" s="24"/>
      <c r="IEM18" s="24"/>
      <c r="IEO18" s="24"/>
      <c r="IEQ18" s="24"/>
      <c r="IES18" s="24"/>
      <c r="IEU18" s="24"/>
      <c r="IEW18" s="24"/>
      <c r="IEY18" s="24"/>
      <c r="IFA18" s="24"/>
      <c r="IFC18" s="24"/>
      <c r="IFE18" s="24"/>
      <c r="IFG18" s="24"/>
      <c r="IFI18" s="24"/>
      <c r="IFK18" s="24"/>
      <c r="IFM18" s="24"/>
      <c r="IFO18" s="24"/>
      <c r="IFQ18" s="24"/>
      <c r="IFS18" s="24"/>
      <c r="IFU18" s="24"/>
      <c r="IFW18" s="24"/>
      <c r="IFY18" s="24"/>
      <c r="IGA18" s="24"/>
      <c r="IGC18" s="24"/>
      <c r="IGE18" s="24"/>
      <c r="IGG18" s="24"/>
      <c r="IGI18" s="24"/>
      <c r="IGK18" s="24"/>
      <c r="IGM18" s="24"/>
      <c r="IGO18" s="24"/>
      <c r="IGQ18" s="24"/>
      <c r="IGS18" s="24"/>
      <c r="IGU18" s="24"/>
      <c r="IGW18" s="24"/>
      <c r="IGY18" s="24"/>
      <c r="IHA18" s="24"/>
      <c r="IHC18" s="24"/>
      <c r="IHE18" s="24"/>
      <c r="IHG18" s="24"/>
      <c r="IHI18" s="24"/>
      <c r="IHK18" s="24"/>
      <c r="IHM18" s="24"/>
      <c r="IHO18" s="24"/>
      <c r="IHQ18" s="24"/>
      <c r="IHS18" s="24"/>
      <c r="IHU18" s="24"/>
      <c r="IHW18" s="24"/>
      <c r="IHY18" s="24"/>
      <c r="IIA18" s="24"/>
      <c r="IIC18" s="24"/>
      <c r="IIE18" s="24"/>
      <c r="IIG18" s="24"/>
      <c r="III18" s="24"/>
      <c r="IIK18" s="24"/>
      <c r="IIM18" s="24"/>
      <c r="IIO18" s="24"/>
      <c r="IIQ18" s="24"/>
      <c r="IIS18" s="24"/>
      <c r="IIU18" s="24"/>
      <c r="IIW18" s="24"/>
      <c r="IIY18" s="24"/>
      <c r="IJA18" s="24"/>
      <c r="IJC18" s="24"/>
      <c r="IJE18" s="24"/>
      <c r="IJG18" s="24"/>
      <c r="IJI18" s="24"/>
      <c r="IJK18" s="24"/>
      <c r="IJM18" s="24"/>
      <c r="IJO18" s="24"/>
      <c r="IJQ18" s="24"/>
      <c r="IJS18" s="24"/>
      <c r="IJU18" s="24"/>
      <c r="IJW18" s="24"/>
      <c r="IJY18" s="24"/>
      <c r="IKA18" s="24"/>
      <c r="IKC18" s="24"/>
      <c r="IKE18" s="24"/>
      <c r="IKG18" s="24"/>
      <c r="IKI18" s="24"/>
      <c r="IKK18" s="24"/>
      <c r="IKM18" s="24"/>
      <c r="IKO18" s="24"/>
      <c r="IKQ18" s="24"/>
      <c r="IKS18" s="24"/>
      <c r="IKU18" s="24"/>
      <c r="IKW18" s="24"/>
      <c r="IKY18" s="24"/>
      <c r="ILA18" s="24"/>
      <c r="ILC18" s="24"/>
      <c r="ILE18" s="24"/>
      <c r="ILG18" s="24"/>
      <c r="ILI18" s="24"/>
      <c r="ILK18" s="24"/>
      <c r="ILM18" s="24"/>
      <c r="ILO18" s="24"/>
      <c r="ILQ18" s="24"/>
      <c r="ILS18" s="24"/>
      <c r="ILU18" s="24"/>
      <c r="ILW18" s="24"/>
      <c r="ILY18" s="24"/>
      <c r="IMA18" s="24"/>
      <c r="IMC18" s="24"/>
      <c r="IME18" s="24"/>
      <c r="IMG18" s="24"/>
      <c r="IMI18" s="24"/>
      <c r="IMK18" s="24"/>
      <c r="IMM18" s="24"/>
      <c r="IMO18" s="24"/>
      <c r="IMQ18" s="24"/>
      <c r="IMS18" s="24"/>
      <c r="IMU18" s="24"/>
      <c r="IMW18" s="24"/>
      <c r="IMY18" s="24"/>
      <c r="INA18" s="24"/>
      <c r="INC18" s="24"/>
      <c r="INE18" s="24"/>
      <c r="ING18" s="24"/>
      <c r="INI18" s="24"/>
      <c r="INK18" s="24"/>
      <c r="INM18" s="24"/>
      <c r="INO18" s="24"/>
      <c r="INQ18" s="24"/>
      <c r="INS18" s="24"/>
      <c r="INU18" s="24"/>
      <c r="INW18" s="24"/>
      <c r="INY18" s="24"/>
      <c r="IOA18" s="24"/>
      <c r="IOC18" s="24"/>
      <c r="IOE18" s="24"/>
      <c r="IOG18" s="24"/>
      <c r="IOI18" s="24"/>
      <c r="IOK18" s="24"/>
      <c r="IOM18" s="24"/>
      <c r="IOO18" s="24"/>
      <c r="IOQ18" s="24"/>
      <c r="IOS18" s="24"/>
      <c r="IOU18" s="24"/>
      <c r="IOW18" s="24"/>
      <c r="IOY18" s="24"/>
      <c r="IPA18" s="24"/>
      <c r="IPC18" s="24"/>
      <c r="IPE18" s="24"/>
      <c r="IPG18" s="24"/>
      <c r="IPI18" s="24"/>
      <c r="IPK18" s="24"/>
      <c r="IPM18" s="24"/>
      <c r="IPO18" s="24"/>
      <c r="IPQ18" s="24"/>
      <c r="IPS18" s="24"/>
      <c r="IPU18" s="24"/>
      <c r="IPW18" s="24"/>
      <c r="IPY18" s="24"/>
      <c r="IQA18" s="24"/>
      <c r="IQC18" s="24"/>
      <c r="IQE18" s="24"/>
      <c r="IQG18" s="24"/>
      <c r="IQI18" s="24"/>
      <c r="IQK18" s="24"/>
      <c r="IQM18" s="24"/>
      <c r="IQO18" s="24"/>
      <c r="IQQ18" s="24"/>
      <c r="IQS18" s="24"/>
      <c r="IQU18" s="24"/>
      <c r="IQW18" s="24"/>
      <c r="IQY18" s="24"/>
      <c r="IRA18" s="24"/>
      <c r="IRC18" s="24"/>
      <c r="IRE18" s="24"/>
      <c r="IRG18" s="24"/>
      <c r="IRI18" s="24"/>
      <c r="IRK18" s="24"/>
      <c r="IRM18" s="24"/>
      <c r="IRO18" s="24"/>
      <c r="IRQ18" s="24"/>
      <c r="IRS18" s="24"/>
      <c r="IRU18" s="24"/>
      <c r="IRW18" s="24"/>
      <c r="IRY18" s="24"/>
      <c r="ISA18" s="24"/>
      <c r="ISC18" s="24"/>
      <c r="ISE18" s="24"/>
      <c r="ISG18" s="24"/>
      <c r="ISI18" s="24"/>
      <c r="ISK18" s="24"/>
      <c r="ISM18" s="24"/>
      <c r="ISO18" s="24"/>
      <c r="ISQ18" s="24"/>
      <c r="ISS18" s="24"/>
      <c r="ISU18" s="24"/>
      <c r="ISW18" s="24"/>
      <c r="ISY18" s="24"/>
      <c r="ITA18" s="24"/>
      <c r="ITC18" s="24"/>
      <c r="ITE18" s="24"/>
      <c r="ITG18" s="24"/>
      <c r="ITI18" s="24"/>
      <c r="ITK18" s="24"/>
      <c r="ITM18" s="24"/>
      <c r="ITO18" s="24"/>
      <c r="ITQ18" s="24"/>
      <c r="ITS18" s="24"/>
      <c r="ITU18" s="24"/>
      <c r="ITW18" s="24"/>
      <c r="ITY18" s="24"/>
      <c r="IUA18" s="24"/>
      <c r="IUC18" s="24"/>
      <c r="IUE18" s="24"/>
      <c r="IUG18" s="24"/>
      <c r="IUI18" s="24"/>
      <c r="IUK18" s="24"/>
      <c r="IUM18" s="24"/>
      <c r="IUO18" s="24"/>
      <c r="IUQ18" s="24"/>
      <c r="IUS18" s="24"/>
      <c r="IUU18" s="24"/>
      <c r="IUW18" s="24"/>
      <c r="IUY18" s="24"/>
      <c r="IVA18" s="24"/>
      <c r="IVC18" s="24"/>
      <c r="IVE18" s="24"/>
      <c r="IVG18" s="24"/>
      <c r="IVI18" s="24"/>
      <c r="IVK18" s="24"/>
      <c r="IVM18" s="24"/>
      <c r="IVO18" s="24"/>
      <c r="IVQ18" s="24"/>
      <c r="IVS18" s="24"/>
      <c r="IVU18" s="24"/>
      <c r="IVW18" s="24"/>
      <c r="IVY18" s="24"/>
      <c r="IWA18" s="24"/>
      <c r="IWC18" s="24"/>
      <c r="IWE18" s="24"/>
      <c r="IWG18" s="24"/>
      <c r="IWI18" s="24"/>
      <c r="IWK18" s="24"/>
      <c r="IWM18" s="24"/>
      <c r="IWO18" s="24"/>
      <c r="IWQ18" s="24"/>
      <c r="IWS18" s="24"/>
      <c r="IWU18" s="24"/>
      <c r="IWW18" s="24"/>
      <c r="IWY18" s="24"/>
      <c r="IXA18" s="24"/>
      <c r="IXC18" s="24"/>
      <c r="IXE18" s="24"/>
      <c r="IXG18" s="24"/>
      <c r="IXI18" s="24"/>
      <c r="IXK18" s="24"/>
      <c r="IXM18" s="24"/>
      <c r="IXO18" s="24"/>
      <c r="IXQ18" s="24"/>
      <c r="IXS18" s="24"/>
      <c r="IXU18" s="24"/>
      <c r="IXW18" s="24"/>
      <c r="IXY18" s="24"/>
      <c r="IYA18" s="24"/>
      <c r="IYC18" s="24"/>
      <c r="IYE18" s="24"/>
      <c r="IYG18" s="24"/>
      <c r="IYI18" s="24"/>
      <c r="IYK18" s="24"/>
      <c r="IYM18" s="24"/>
      <c r="IYO18" s="24"/>
      <c r="IYQ18" s="24"/>
      <c r="IYS18" s="24"/>
      <c r="IYU18" s="24"/>
      <c r="IYW18" s="24"/>
      <c r="IYY18" s="24"/>
      <c r="IZA18" s="24"/>
      <c r="IZC18" s="24"/>
      <c r="IZE18" s="24"/>
      <c r="IZG18" s="24"/>
      <c r="IZI18" s="24"/>
      <c r="IZK18" s="24"/>
      <c r="IZM18" s="24"/>
      <c r="IZO18" s="24"/>
      <c r="IZQ18" s="24"/>
      <c r="IZS18" s="24"/>
      <c r="IZU18" s="24"/>
      <c r="IZW18" s="24"/>
      <c r="IZY18" s="24"/>
      <c r="JAA18" s="24"/>
      <c r="JAC18" s="24"/>
      <c r="JAE18" s="24"/>
      <c r="JAG18" s="24"/>
      <c r="JAI18" s="24"/>
      <c r="JAK18" s="24"/>
      <c r="JAM18" s="24"/>
      <c r="JAO18" s="24"/>
      <c r="JAQ18" s="24"/>
      <c r="JAS18" s="24"/>
      <c r="JAU18" s="24"/>
      <c r="JAW18" s="24"/>
      <c r="JAY18" s="24"/>
      <c r="JBA18" s="24"/>
      <c r="JBC18" s="24"/>
      <c r="JBE18" s="24"/>
      <c r="JBG18" s="24"/>
      <c r="JBI18" s="24"/>
      <c r="JBK18" s="24"/>
      <c r="JBM18" s="24"/>
      <c r="JBO18" s="24"/>
      <c r="JBQ18" s="24"/>
      <c r="JBS18" s="24"/>
      <c r="JBU18" s="24"/>
      <c r="JBW18" s="24"/>
      <c r="JBY18" s="24"/>
      <c r="JCA18" s="24"/>
      <c r="JCC18" s="24"/>
      <c r="JCE18" s="24"/>
      <c r="JCG18" s="24"/>
      <c r="JCI18" s="24"/>
      <c r="JCK18" s="24"/>
      <c r="JCM18" s="24"/>
      <c r="JCO18" s="24"/>
      <c r="JCQ18" s="24"/>
      <c r="JCS18" s="24"/>
      <c r="JCU18" s="24"/>
      <c r="JCW18" s="24"/>
      <c r="JCY18" s="24"/>
      <c r="JDA18" s="24"/>
      <c r="JDC18" s="24"/>
      <c r="JDE18" s="24"/>
      <c r="JDG18" s="24"/>
      <c r="JDI18" s="24"/>
      <c r="JDK18" s="24"/>
      <c r="JDM18" s="24"/>
      <c r="JDO18" s="24"/>
      <c r="JDQ18" s="24"/>
      <c r="JDS18" s="24"/>
      <c r="JDU18" s="24"/>
      <c r="JDW18" s="24"/>
      <c r="JDY18" s="24"/>
      <c r="JEA18" s="24"/>
      <c r="JEC18" s="24"/>
      <c r="JEE18" s="24"/>
      <c r="JEG18" s="24"/>
      <c r="JEI18" s="24"/>
      <c r="JEK18" s="24"/>
      <c r="JEM18" s="24"/>
      <c r="JEO18" s="24"/>
      <c r="JEQ18" s="24"/>
      <c r="JES18" s="24"/>
      <c r="JEU18" s="24"/>
      <c r="JEW18" s="24"/>
      <c r="JEY18" s="24"/>
      <c r="JFA18" s="24"/>
      <c r="JFC18" s="24"/>
      <c r="JFE18" s="24"/>
      <c r="JFG18" s="24"/>
      <c r="JFI18" s="24"/>
      <c r="JFK18" s="24"/>
      <c r="JFM18" s="24"/>
      <c r="JFO18" s="24"/>
      <c r="JFQ18" s="24"/>
      <c r="JFS18" s="24"/>
      <c r="JFU18" s="24"/>
      <c r="JFW18" s="24"/>
      <c r="JFY18" s="24"/>
      <c r="JGA18" s="24"/>
      <c r="JGC18" s="24"/>
      <c r="JGE18" s="24"/>
      <c r="JGG18" s="24"/>
      <c r="JGI18" s="24"/>
      <c r="JGK18" s="24"/>
      <c r="JGM18" s="24"/>
      <c r="JGO18" s="24"/>
      <c r="JGQ18" s="24"/>
      <c r="JGS18" s="24"/>
      <c r="JGU18" s="24"/>
      <c r="JGW18" s="24"/>
      <c r="JGY18" s="24"/>
      <c r="JHA18" s="24"/>
      <c r="JHC18" s="24"/>
      <c r="JHE18" s="24"/>
      <c r="JHG18" s="24"/>
      <c r="JHI18" s="24"/>
      <c r="JHK18" s="24"/>
      <c r="JHM18" s="24"/>
      <c r="JHO18" s="24"/>
      <c r="JHQ18" s="24"/>
      <c r="JHS18" s="24"/>
      <c r="JHU18" s="24"/>
      <c r="JHW18" s="24"/>
      <c r="JHY18" s="24"/>
      <c r="JIA18" s="24"/>
      <c r="JIC18" s="24"/>
      <c r="JIE18" s="24"/>
      <c r="JIG18" s="24"/>
      <c r="JII18" s="24"/>
      <c r="JIK18" s="24"/>
      <c r="JIM18" s="24"/>
      <c r="JIO18" s="24"/>
      <c r="JIQ18" s="24"/>
      <c r="JIS18" s="24"/>
      <c r="JIU18" s="24"/>
      <c r="JIW18" s="24"/>
      <c r="JIY18" s="24"/>
      <c r="JJA18" s="24"/>
      <c r="JJC18" s="24"/>
      <c r="JJE18" s="24"/>
      <c r="JJG18" s="24"/>
      <c r="JJI18" s="24"/>
      <c r="JJK18" s="24"/>
      <c r="JJM18" s="24"/>
      <c r="JJO18" s="24"/>
      <c r="JJQ18" s="24"/>
      <c r="JJS18" s="24"/>
      <c r="JJU18" s="24"/>
      <c r="JJW18" s="24"/>
      <c r="JJY18" s="24"/>
      <c r="JKA18" s="24"/>
      <c r="JKC18" s="24"/>
      <c r="JKE18" s="24"/>
      <c r="JKG18" s="24"/>
      <c r="JKI18" s="24"/>
      <c r="JKK18" s="24"/>
      <c r="JKM18" s="24"/>
      <c r="JKO18" s="24"/>
      <c r="JKQ18" s="24"/>
      <c r="JKS18" s="24"/>
      <c r="JKU18" s="24"/>
      <c r="JKW18" s="24"/>
      <c r="JKY18" s="24"/>
      <c r="JLA18" s="24"/>
      <c r="JLC18" s="24"/>
      <c r="JLE18" s="24"/>
      <c r="JLG18" s="24"/>
      <c r="JLI18" s="24"/>
      <c r="JLK18" s="24"/>
      <c r="JLM18" s="24"/>
      <c r="JLO18" s="24"/>
      <c r="JLQ18" s="24"/>
      <c r="JLS18" s="24"/>
      <c r="JLU18" s="24"/>
      <c r="JLW18" s="24"/>
      <c r="JLY18" s="24"/>
      <c r="JMA18" s="24"/>
      <c r="JMC18" s="24"/>
      <c r="JME18" s="24"/>
      <c r="JMG18" s="24"/>
      <c r="JMI18" s="24"/>
      <c r="JMK18" s="24"/>
      <c r="JMM18" s="24"/>
      <c r="JMO18" s="24"/>
      <c r="JMQ18" s="24"/>
      <c r="JMS18" s="24"/>
      <c r="JMU18" s="24"/>
      <c r="JMW18" s="24"/>
      <c r="JMY18" s="24"/>
      <c r="JNA18" s="24"/>
      <c r="JNC18" s="24"/>
      <c r="JNE18" s="24"/>
      <c r="JNG18" s="24"/>
      <c r="JNI18" s="24"/>
      <c r="JNK18" s="24"/>
      <c r="JNM18" s="24"/>
      <c r="JNO18" s="24"/>
      <c r="JNQ18" s="24"/>
      <c r="JNS18" s="24"/>
      <c r="JNU18" s="24"/>
      <c r="JNW18" s="24"/>
      <c r="JNY18" s="24"/>
      <c r="JOA18" s="24"/>
      <c r="JOC18" s="24"/>
      <c r="JOE18" s="24"/>
      <c r="JOG18" s="24"/>
      <c r="JOI18" s="24"/>
      <c r="JOK18" s="24"/>
      <c r="JOM18" s="24"/>
      <c r="JOO18" s="24"/>
      <c r="JOQ18" s="24"/>
      <c r="JOS18" s="24"/>
      <c r="JOU18" s="24"/>
      <c r="JOW18" s="24"/>
      <c r="JOY18" s="24"/>
      <c r="JPA18" s="24"/>
      <c r="JPC18" s="24"/>
      <c r="JPE18" s="24"/>
      <c r="JPG18" s="24"/>
      <c r="JPI18" s="24"/>
      <c r="JPK18" s="24"/>
      <c r="JPM18" s="24"/>
      <c r="JPO18" s="24"/>
      <c r="JPQ18" s="24"/>
      <c r="JPS18" s="24"/>
      <c r="JPU18" s="24"/>
      <c r="JPW18" s="24"/>
      <c r="JPY18" s="24"/>
      <c r="JQA18" s="24"/>
      <c r="JQC18" s="24"/>
      <c r="JQE18" s="24"/>
      <c r="JQG18" s="24"/>
      <c r="JQI18" s="24"/>
      <c r="JQK18" s="24"/>
      <c r="JQM18" s="24"/>
      <c r="JQO18" s="24"/>
      <c r="JQQ18" s="24"/>
      <c r="JQS18" s="24"/>
      <c r="JQU18" s="24"/>
      <c r="JQW18" s="24"/>
      <c r="JQY18" s="24"/>
      <c r="JRA18" s="24"/>
      <c r="JRC18" s="24"/>
      <c r="JRE18" s="24"/>
      <c r="JRG18" s="24"/>
      <c r="JRI18" s="24"/>
      <c r="JRK18" s="24"/>
      <c r="JRM18" s="24"/>
      <c r="JRO18" s="24"/>
      <c r="JRQ18" s="24"/>
      <c r="JRS18" s="24"/>
      <c r="JRU18" s="24"/>
      <c r="JRW18" s="24"/>
      <c r="JRY18" s="24"/>
      <c r="JSA18" s="24"/>
      <c r="JSC18" s="24"/>
      <c r="JSE18" s="24"/>
      <c r="JSG18" s="24"/>
      <c r="JSI18" s="24"/>
      <c r="JSK18" s="24"/>
      <c r="JSM18" s="24"/>
      <c r="JSO18" s="24"/>
      <c r="JSQ18" s="24"/>
      <c r="JSS18" s="24"/>
      <c r="JSU18" s="24"/>
      <c r="JSW18" s="24"/>
      <c r="JSY18" s="24"/>
      <c r="JTA18" s="24"/>
      <c r="JTC18" s="24"/>
      <c r="JTE18" s="24"/>
      <c r="JTG18" s="24"/>
      <c r="JTI18" s="24"/>
      <c r="JTK18" s="24"/>
      <c r="JTM18" s="24"/>
      <c r="JTO18" s="24"/>
      <c r="JTQ18" s="24"/>
      <c r="JTS18" s="24"/>
      <c r="JTU18" s="24"/>
      <c r="JTW18" s="24"/>
      <c r="JTY18" s="24"/>
      <c r="JUA18" s="24"/>
      <c r="JUC18" s="24"/>
      <c r="JUE18" s="24"/>
      <c r="JUG18" s="24"/>
      <c r="JUI18" s="24"/>
      <c r="JUK18" s="24"/>
      <c r="JUM18" s="24"/>
      <c r="JUO18" s="24"/>
      <c r="JUQ18" s="24"/>
      <c r="JUS18" s="24"/>
      <c r="JUU18" s="24"/>
      <c r="JUW18" s="24"/>
      <c r="JUY18" s="24"/>
      <c r="JVA18" s="24"/>
      <c r="JVC18" s="24"/>
      <c r="JVE18" s="24"/>
      <c r="JVG18" s="24"/>
      <c r="JVI18" s="24"/>
      <c r="JVK18" s="24"/>
      <c r="JVM18" s="24"/>
      <c r="JVO18" s="24"/>
      <c r="JVQ18" s="24"/>
      <c r="JVS18" s="24"/>
      <c r="JVU18" s="24"/>
      <c r="JVW18" s="24"/>
      <c r="JVY18" s="24"/>
      <c r="JWA18" s="24"/>
      <c r="JWC18" s="24"/>
      <c r="JWE18" s="24"/>
      <c r="JWG18" s="24"/>
      <c r="JWI18" s="24"/>
      <c r="JWK18" s="24"/>
      <c r="JWM18" s="24"/>
      <c r="JWO18" s="24"/>
      <c r="JWQ18" s="24"/>
      <c r="JWS18" s="24"/>
      <c r="JWU18" s="24"/>
      <c r="JWW18" s="24"/>
      <c r="JWY18" s="24"/>
      <c r="JXA18" s="24"/>
      <c r="JXC18" s="24"/>
      <c r="JXE18" s="24"/>
      <c r="JXG18" s="24"/>
      <c r="JXI18" s="24"/>
      <c r="JXK18" s="24"/>
      <c r="JXM18" s="24"/>
      <c r="JXO18" s="24"/>
      <c r="JXQ18" s="24"/>
      <c r="JXS18" s="24"/>
      <c r="JXU18" s="24"/>
      <c r="JXW18" s="24"/>
      <c r="JXY18" s="24"/>
      <c r="JYA18" s="24"/>
      <c r="JYC18" s="24"/>
      <c r="JYE18" s="24"/>
      <c r="JYG18" s="24"/>
      <c r="JYI18" s="24"/>
      <c r="JYK18" s="24"/>
      <c r="JYM18" s="24"/>
      <c r="JYO18" s="24"/>
      <c r="JYQ18" s="24"/>
      <c r="JYS18" s="24"/>
      <c r="JYU18" s="24"/>
      <c r="JYW18" s="24"/>
      <c r="JYY18" s="24"/>
      <c r="JZA18" s="24"/>
      <c r="JZC18" s="24"/>
      <c r="JZE18" s="24"/>
      <c r="JZG18" s="24"/>
      <c r="JZI18" s="24"/>
      <c r="JZK18" s="24"/>
      <c r="JZM18" s="24"/>
      <c r="JZO18" s="24"/>
      <c r="JZQ18" s="24"/>
      <c r="JZS18" s="24"/>
      <c r="JZU18" s="24"/>
      <c r="JZW18" s="24"/>
      <c r="JZY18" s="24"/>
      <c r="KAA18" s="24"/>
      <c r="KAC18" s="24"/>
      <c r="KAE18" s="24"/>
      <c r="KAG18" s="24"/>
      <c r="KAI18" s="24"/>
      <c r="KAK18" s="24"/>
      <c r="KAM18" s="24"/>
      <c r="KAO18" s="24"/>
      <c r="KAQ18" s="24"/>
      <c r="KAS18" s="24"/>
      <c r="KAU18" s="24"/>
      <c r="KAW18" s="24"/>
      <c r="KAY18" s="24"/>
      <c r="KBA18" s="24"/>
      <c r="KBC18" s="24"/>
      <c r="KBE18" s="24"/>
      <c r="KBG18" s="24"/>
      <c r="KBI18" s="24"/>
      <c r="KBK18" s="24"/>
      <c r="KBM18" s="24"/>
      <c r="KBO18" s="24"/>
      <c r="KBQ18" s="24"/>
      <c r="KBS18" s="24"/>
      <c r="KBU18" s="24"/>
      <c r="KBW18" s="24"/>
      <c r="KBY18" s="24"/>
      <c r="KCA18" s="24"/>
      <c r="KCC18" s="24"/>
      <c r="KCE18" s="24"/>
      <c r="KCG18" s="24"/>
      <c r="KCI18" s="24"/>
      <c r="KCK18" s="24"/>
      <c r="KCM18" s="24"/>
      <c r="KCO18" s="24"/>
      <c r="KCQ18" s="24"/>
      <c r="KCS18" s="24"/>
      <c r="KCU18" s="24"/>
      <c r="KCW18" s="24"/>
      <c r="KCY18" s="24"/>
      <c r="KDA18" s="24"/>
      <c r="KDC18" s="24"/>
      <c r="KDE18" s="24"/>
      <c r="KDG18" s="24"/>
      <c r="KDI18" s="24"/>
      <c r="KDK18" s="24"/>
      <c r="KDM18" s="24"/>
      <c r="KDO18" s="24"/>
      <c r="KDQ18" s="24"/>
      <c r="KDS18" s="24"/>
      <c r="KDU18" s="24"/>
      <c r="KDW18" s="24"/>
      <c r="KDY18" s="24"/>
      <c r="KEA18" s="24"/>
      <c r="KEC18" s="24"/>
      <c r="KEE18" s="24"/>
      <c r="KEG18" s="24"/>
      <c r="KEI18" s="24"/>
      <c r="KEK18" s="24"/>
      <c r="KEM18" s="24"/>
      <c r="KEO18" s="24"/>
      <c r="KEQ18" s="24"/>
      <c r="KES18" s="24"/>
      <c r="KEU18" s="24"/>
      <c r="KEW18" s="24"/>
      <c r="KEY18" s="24"/>
      <c r="KFA18" s="24"/>
      <c r="KFC18" s="24"/>
      <c r="KFE18" s="24"/>
      <c r="KFG18" s="24"/>
      <c r="KFI18" s="24"/>
      <c r="KFK18" s="24"/>
      <c r="KFM18" s="24"/>
      <c r="KFO18" s="24"/>
      <c r="KFQ18" s="24"/>
      <c r="KFS18" s="24"/>
      <c r="KFU18" s="24"/>
      <c r="KFW18" s="24"/>
      <c r="KFY18" s="24"/>
      <c r="KGA18" s="24"/>
      <c r="KGC18" s="24"/>
      <c r="KGE18" s="24"/>
      <c r="KGG18" s="24"/>
      <c r="KGI18" s="24"/>
      <c r="KGK18" s="24"/>
      <c r="KGM18" s="24"/>
      <c r="KGO18" s="24"/>
      <c r="KGQ18" s="24"/>
      <c r="KGS18" s="24"/>
      <c r="KGU18" s="24"/>
      <c r="KGW18" s="24"/>
      <c r="KGY18" s="24"/>
      <c r="KHA18" s="24"/>
      <c r="KHC18" s="24"/>
      <c r="KHE18" s="24"/>
      <c r="KHG18" s="24"/>
      <c r="KHI18" s="24"/>
      <c r="KHK18" s="24"/>
      <c r="KHM18" s="24"/>
      <c r="KHO18" s="24"/>
      <c r="KHQ18" s="24"/>
      <c r="KHS18" s="24"/>
      <c r="KHU18" s="24"/>
      <c r="KHW18" s="24"/>
      <c r="KHY18" s="24"/>
      <c r="KIA18" s="24"/>
      <c r="KIC18" s="24"/>
      <c r="KIE18" s="24"/>
      <c r="KIG18" s="24"/>
      <c r="KII18" s="24"/>
      <c r="KIK18" s="24"/>
      <c r="KIM18" s="24"/>
      <c r="KIO18" s="24"/>
      <c r="KIQ18" s="24"/>
      <c r="KIS18" s="24"/>
      <c r="KIU18" s="24"/>
      <c r="KIW18" s="24"/>
      <c r="KIY18" s="24"/>
      <c r="KJA18" s="24"/>
      <c r="KJC18" s="24"/>
      <c r="KJE18" s="24"/>
      <c r="KJG18" s="24"/>
      <c r="KJI18" s="24"/>
      <c r="KJK18" s="24"/>
      <c r="KJM18" s="24"/>
      <c r="KJO18" s="24"/>
      <c r="KJQ18" s="24"/>
      <c r="KJS18" s="24"/>
      <c r="KJU18" s="24"/>
      <c r="KJW18" s="24"/>
      <c r="KJY18" s="24"/>
      <c r="KKA18" s="24"/>
      <c r="KKC18" s="24"/>
      <c r="KKE18" s="24"/>
      <c r="KKG18" s="24"/>
      <c r="KKI18" s="24"/>
      <c r="KKK18" s="24"/>
      <c r="KKM18" s="24"/>
      <c r="KKO18" s="24"/>
      <c r="KKQ18" s="24"/>
      <c r="KKS18" s="24"/>
      <c r="KKU18" s="24"/>
      <c r="KKW18" s="24"/>
      <c r="KKY18" s="24"/>
      <c r="KLA18" s="24"/>
      <c r="KLC18" s="24"/>
      <c r="KLE18" s="24"/>
      <c r="KLG18" s="24"/>
      <c r="KLI18" s="24"/>
      <c r="KLK18" s="24"/>
      <c r="KLM18" s="24"/>
      <c r="KLO18" s="24"/>
      <c r="KLQ18" s="24"/>
      <c r="KLS18" s="24"/>
      <c r="KLU18" s="24"/>
      <c r="KLW18" s="24"/>
      <c r="KLY18" s="24"/>
      <c r="KMA18" s="24"/>
      <c r="KMC18" s="24"/>
      <c r="KME18" s="24"/>
      <c r="KMG18" s="24"/>
      <c r="KMI18" s="24"/>
      <c r="KMK18" s="24"/>
      <c r="KMM18" s="24"/>
      <c r="KMO18" s="24"/>
      <c r="KMQ18" s="24"/>
      <c r="KMS18" s="24"/>
      <c r="KMU18" s="24"/>
      <c r="KMW18" s="24"/>
      <c r="KMY18" s="24"/>
      <c r="KNA18" s="24"/>
      <c r="KNC18" s="24"/>
      <c r="KNE18" s="24"/>
      <c r="KNG18" s="24"/>
      <c r="KNI18" s="24"/>
      <c r="KNK18" s="24"/>
      <c r="KNM18" s="24"/>
      <c r="KNO18" s="24"/>
      <c r="KNQ18" s="24"/>
      <c r="KNS18" s="24"/>
      <c r="KNU18" s="24"/>
      <c r="KNW18" s="24"/>
      <c r="KNY18" s="24"/>
      <c r="KOA18" s="24"/>
      <c r="KOC18" s="24"/>
      <c r="KOE18" s="24"/>
      <c r="KOG18" s="24"/>
      <c r="KOI18" s="24"/>
      <c r="KOK18" s="24"/>
      <c r="KOM18" s="24"/>
      <c r="KOO18" s="24"/>
      <c r="KOQ18" s="24"/>
      <c r="KOS18" s="24"/>
      <c r="KOU18" s="24"/>
      <c r="KOW18" s="24"/>
      <c r="KOY18" s="24"/>
      <c r="KPA18" s="24"/>
      <c r="KPC18" s="24"/>
      <c r="KPE18" s="24"/>
      <c r="KPG18" s="24"/>
      <c r="KPI18" s="24"/>
      <c r="KPK18" s="24"/>
      <c r="KPM18" s="24"/>
      <c r="KPO18" s="24"/>
      <c r="KPQ18" s="24"/>
      <c r="KPS18" s="24"/>
      <c r="KPU18" s="24"/>
      <c r="KPW18" s="24"/>
      <c r="KPY18" s="24"/>
      <c r="KQA18" s="24"/>
      <c r="KQC18" s="24"/>
      <c r="KQE18" s="24"/>
      <c r="KQG18" s="24"/>
      <c r="KQI18" s="24"/>
      <c r="KQK18" s="24"/>
      <c r="KQM18" s="24"/>
      <c r="KQO18" s="24"/>
      <c r="KQQ18" s="24"/>
      <c r="KQS18" s="24"/>
      <c r="KQU18" s="24"/>
      <c r="KQW18" s="24"/>
      <c r="KQY18" s="24"/>
      <c r="KRA18" s="24"/>
      <c r="KRC18" s="24"/>
      <c r="KRE18" s="24"/>
      <c r="KRG18" s="24"/>
      <c r="KRI18" s="24"/>
      <c r="KRK18" s="24"/>
      <c r="KRM18" s="24"/>
      <c r="KRO18" s="24"/>
      <c r="KRQ18" s="24"/>
      <c r="KRS18" s="24"/>
      <c r="KRU18" s="24"/>
      <c r="KRW18" s="24"/>
      <c r="KRY18" s="24"/>
      <c r="KSA18" s="24"/>
      <c r="KSC18" s="24"/>
      <c r="KSE18" s="24"/>
      <c r="KSG18" s="24"/>
      <c r="KSI18" s="24"/>
      <c r="KSK18" s="24"/>
      <c r="KSM18" s="24"/>
      <c r="KSO18" s="24"/>
      <c r="KSQ18" s="24"/>
      <c r="KSS18" s="24"/>
      <c r="KSU18" s="24"/>
      <c r="KSW18" s="24"/>
      <c r="KSY18" s="24"/>
      <c r="KTA18" s="24"/>
      <c r="KTC18" s="24"/>
      <c r="KTE18" s="24"/>
      <c r="KTG18" s="24"/>
      <c r="KTI18" s="24"/>
      <c r="KTK18" s="24"/>
      <c r="KTM18" s="24"/>
      <c r="KTO18" s="24"/>
      <c r="KTQ18" s="24"/>
      <c r="KTS18" s="24"/>
      <c r="KTU18" s="24"/>
      <c r="KTW18" s="24"/>
      <c r="KTY18" s="24"/>
      <c r="KUA18" s="24"/>
      <c r="KUC18" s="24"/>
      <c r="KUE18" s="24"/>
      <c r="KUG18" s="24"/>
      <c r="KUI18" s="24"/>
      <c r="KUK18" s="24"/>
      <c r="KUM18" s="24"/>
      <c r="KUO18" s="24"/>
      <c r="KUQ18" s="24"/>
      <c r="KUS18" s="24"/>
      <c r="KUU18" s="24"/>
      <c r="KUW18" s="24"/>
      <c r="KUY18" s="24"/>
      <c r="KVA18" s="24"/>
      <c r="KVC18" s="24"/>
      <c r="KVE18" s="24"/>
      <c r="KVG18" s="24"/>
      <c r="KVI18" s="24"/>
      <c r="KVK18" s="24"/>
      <c r="KVM18" s="24"/>
      <c r="KVO18" s="24"/>
      <c r="KVQ18" s="24"/>
      <c r="KVS18" s="24"/>
      <c r="KVU18" s="24"/>
      <c r="KVW18" s="24"/>
      <c r="KVY18" s="24"/>
      <c r="KWA18" s="24"/>
      <c r="KWC18" s="24"/>
      <c r="KWE18" s="24"/>
      <c r="KWG18" s="24"/>
      <c r="KWI18" s="24"/>
      <c r="KWK18" s="24"/>
      <c r="KWM18" s="24"/>
      <c r="KWO18" s="24"/>
      <c r="KWQ18" s="24"/>
      <c r="KWS18" s="24"/>
      <c r="KWU18" s="24"/>
      <c r="KWW18" s="24"/>
      <c r="KWY18" s="24"/>
      <c r="KXA18" s="24"/>
      <c r="KXC18" s="24"/>
      <c r="KXE18" s="24"/>
      <c r="KXG18" s="24"/>
      <c r="KXI18" s="24"/>
      <c r="KXK18" s="24"/>
      <c r="KXM18" s="24"/>
      <c r="KXO18" s="24"/>
      <c r="KXQ18" s="24"/>
      <c r="KXS18" s="24"/>
      <c r="KXU18" s="24"/>
      <c r="KXW18" s="24"/>
      <c r="KXY18" s="24"/>
      <c r="KYA18" s="24"/>
      <c r="KYC18" s="24"/>
      <c r="KYE18" s="24"/>
      <c r="KYG18" s="24"/>
      <c r="KYI18" s="24"/>
      <c r="KYK18" s="24"/>
      <c r="KYM18" s="24"/>
      <c r="KYO18" s="24"/>
      <c r="KYQ18" s="24"/>
      <c r="KYS18" s="24"/>
      <c r="KYU18" s="24"/>
      <c r="KYW18" s="24"/>
      <c r="KYY18" s="24"/>
      <c r="KZA18" s="24"/>
      <c r="KZC18" s="24"/>
      <c r="KZE18" s="24"/>
      <c r="KZG18" s="24"/>
      <c r="KZI18" s="24"/>
      <c r="KZK18" s="24"/>
      <c r="KZM18" s="24"/>
      <c r="KZO18" s="24"/>
      <c r="KZQ18" s="24"/>
      <c r="KZS18" s="24"/>
      <c r="KZU18" s="24"/>
      <c r="KZW18" s="24"/>
      <c r="KZY18" s="24"/>
      <c r="LAA18" s="24"/>
      <c r="LAC18" s="24"/>
      <c r="LAE18" s="24"/>
      <c r="LAG18" s="24"/>
      <c r="LAI18" s="24"/>
      <c r="LAK18" s="24"/>
      <c r="LAM18" s="24"/>
      <c r="LAO18" s="24"/>
      <c r="LAQ18" s="24"/>
      <c r="LAS18" s="24"/>
      <c r="LAU18" s="24"/>
      <c r="LAW18" s="24"/>
      <c r="LAY18" s="24"/>
      <c r="LBA18" s="24"/>
      <c r="LBC18" s="24"/>
      <c r="LBE18" s="24"/>
      <c r="LBG18" s="24"/>
      <c r="LBI18" s="24"/>
      <c r="LBK18" s="24"/>
      <c r="LBM18" s="24"/>
      <c r="LBO18" s="24"/>
      <c r="LBQ18" s="24"/>
      <c r="LBS18" s="24"/>
      <c r="LBU18" s="24"/>
      <c r="LBW18" s="24"/>
      <c r="LBY18" s="24"/>
      <c r="LCA18" s="24"/>
      <c r="LCC18" s="24"/>
      <c r="LCE18" s="24"/>
      <c r="LCG18" s="24"/>
      <c r="LCI18" s="24"/>
      <c r="LCK18" s="24"/>
      <c r="LCM18" s="24"/>
      <c r="LCO18" s="24"/>
      <c r="LCQ18" s="24"/>
      <c r="LCS18" s="24"/>
      <c r="LCU18" s="24"/>
      <c r="LCW18" s="24"/>
      <c r="LCY18" s="24"/>
      <c r="LDA18" s="24"/>
      <c r="LDC18" s="24"/>
      <c r="LDE18" s="24"/>
      <c r="LDG18" s="24"/>
      <c r="LDI18" s="24"/>
      <c r="LDK18" s="24"/>
      <c r="LDM18" s="24"/>
      <c r="LDO18" s="24"/>
      <c r="LDQ18" s="24"/>
      <c r="LDS18" s="24"/>
      <c r="LDU18" s="24"/>
      <c r="LDW18" s="24"/>
      <c r="LDY18" s="24"/>
      <c r="LEA18" s="24"/>
      <c r="LEC18" s="24"/>
      <c r="LEE18" s="24"/>
      <c r="LEG18" s="24"/>
      <c r="LEI18" s="24"/>
      <c r="LEK18" s="24"/>
      <c r="LEM18" s="24"/>
      <c r="LEO18" s="24"/>
      <c r="LEQ18" s="24"/>
      <c r="LES18" s="24"/>
      <c r="LEU18" s="24"/>
      <c r="LEW18" s="24"/>
      <c r="LEY18" s="24"/>
      <c r="LFA18" s="24"/>
      <c r="LFC18" s="24"/>
      <c r="LFE18" s="24"/>
      <c r="LFG18" s="24"/>
      <c r="LFI18" s="24"/>
      <c r="LFK18" s="24"/>
      <c r="LFM18" s="24"/>
      <c r="LFO18" s="24"/>
      <c r="LFQ18" s="24"/>
      <c r="LFS18" s="24"/>
      <c r="LFU18" s="24"/>
      <c r="LFW18" s="24"/>
      <c r="LFY18" s="24"/>
      <c r="LGA18" s="24"/>
      <c r="LGC18" s="24"/>
      <c r="LGE18" s="24"/>
      <c r="LGG18" s="24"/>
      <c r="LGI18" s="24"/>
      <c r="LGK18" s="24"/>
      <c r="LGM18" s="24"/>
      <c r="LGO18" s="24"/>
      <c r="LGQ18" s="24"/>
      <c r="LGS18" s="24"/>
      <c r="LGU18" s="24"/>
      <c r="LGW18" s="24"/>
      <c r="LGY18" s="24"/>
      <c r="LHA18" s="24"/>
      <c r="LHC18" s="24"/>
      <c r="LHE18" s="24"/>
      <c r="LHG18" s="24"/>
      <c r="LHI18" s="24"/>
      <c r="LHK18" s="24"/>
      <c r="LHM18" s="24"/>
      <c r="LHO18" s="24"/>
      <c r="LHQ18" s="24"/>
      <c r="LHS18" s="24"/>
      <c r="LHU18" s="24"/>
      <c r="LHW18" s="24"/>
      <c r="LHY18" s="24"/>
      <c r="LIA18" s="24"/>
      <c r="LIC18" s="24"/>
      <c r="LIE18" s="24"/>
      <c r="LIG18" s="24"/>
      <c r="LII18" s="24"/>
      <c r="LIK18" s="24"/>
      <c r="LIM18" s="24"/>
      <c r="LIO18" s="24"/>
      <c r="LIQ18" s="24"/>
      <c r="LIS18" s="24"/>
      <c r="LIU18" s="24"/>
      <c r="LIW18" s="24"/>
      <c r="LIY18" s="24"/>
      <c r="LJA18" s="24"/>
      <c r="LJC18" s="24"/>
      <c r="LJE18" s="24"/>
      <c r="LJG18" s="24"/>
      <c r="LJI18" s="24"/>
      <c r="LJK18" s="24"/>
      <c r="LJM18" s="24"/>
      <c r="LJO18" s="24"/>
      <c r="LJQ18" s="24"/>
      <c r="LJS18" s="24"/>
      <c r="LJU18" s="24"/>
      <c r="LJW18" s="24"/>
      <c r="LJY18" s="24"/>
      <c r="LKA18" s="24"/>
      <c r="LKC18" s="24"/>
      <c r="LKE18" s="24"/>
      <c r="LKG18" s="24"/>
      <c r="LKI18" s="24"/>
      <c r="LKK18" s="24"/>
      <c r="LKM18" s="24"/>
      <c r="LKO18" s="24"/>
      <c r="LKQ18" s="24"/>
      <c r="LKS18" s="24"/>
      <c r="LKU18" s="24"/>
      <c r="LKW18" s="24"/>
      <c r="LKY18" s="24"/>
      <c r="LLA18" s="24"/>
      <c r="LLC18" s="24"/>
      <c r="LLE18" s="24"/>
      <c r="LLG18" s="24"/>
      <c r="LLI18" s="24"/>
      <c r="LLK18" s="24"/>
      <c r="LLM18" s="24"/>
      <c r="LLO18" s="24"/>
      <c r="LLQ18" s="24"/>
      <c r="LLS18" s="24"/>
      <c r="LLU18" s="24"/>
      <c r="LLW18" s="24"/>
      <c r="LLY18" s="24"/>
      <c r="LMA18" s="24"/>
      <c r="LMC18" s="24"/>
      <c r="LME18" s="24"/>
      <c r="LMG18" s="24"/>
      <c r="LMI18" s="24"/>
      <c r="LMK18" s="24"/>
      <c r="LMM18" s="24"/>
      <c r="LMO18" s="24"/>
      <c r="LMQ18" s="24"/>
      <c r="LMS18" s="24"/>
      <c r="LMU18" s="24"/>
      <c r="LMW18" s="24"/>
      <c r="LMY18" s="24"/>
      <c r="LNA18" s="24"/>
      <c r="LNC18" s="24"/>
      <c r="LNE18" s="24"/>
      <c r="LNG18" s="24"/>
      <c r="LNI18" s="24"/>
      <c r="LNK18" s="24"/>
      <c r="LNM18" s="24"/>
      <c r="LNO18" s="24"/>
      <c r="LNQ18" s="24"/>
      <c r="LNS18" s="24"/>
      <c r="LNU18" s="24"/>
      <c r="LNW18" s="24"/>
      <c r="LNY18" s="24"/>
      <c r="LOA18" s="24"/>
      <c r="LOC18" s="24"/>
      <c r="LOE18" s="24"/>
      <c r="LOG18" s="24"/>
      <c r="LOI18" s="24"/>
      <c r="LOK18" s="24"/>
      <c r="LOM18" s="24"/>
      <c r="LOO18" s="24"/>
      <c r="LOQ18" s="24"/>
      <c r="LOS18" s="24"/>
      <c r="LOU18" s="24"/>
      <c r="LOW18" s="24"/>
      <c r="LOY18" s="24"/>
      <c r="LPA18" s="24"/>
      <c r="LPC18" s="24"/>
      <c r="LPE18" s="24"/>
      <c r="LPG18" s="24"/>
      <c r="LPI18" s="24"/>
      <c r="LPK18" s="24"/>
      <c r="LPM18" s="24"/>
      <c r="LPO18" s="24"/>
      <c r="LPQ18" s="24"/>
      <c r="LPS18" s="24"/>
      <c r="LPU18" s="24"/>
      <c r="LPW18" s="24"/>
      <c r="LPY18" s="24"/>
      <c r="LQA18" s="24"/>
      <c r="LQC18" s="24"/>
      <c r="LQE18" s="24"/>
      <c r="LQG18" s="24"/>
      <c r="LQI18" s="24"/>
      <c r="LQK18" s="24"/>
      <c r="LQM18" s="24"/>
      <c r="LQO18" s="24"/>
      <c r="LQQ18" s="24"/>
      <c r="LQS18" s="24"/>
      <c r="LQU18" s="24"/>
      <c r="LQW18" s="24"/>
      <c r="LQY18" s="24"/>
      <c r="LRA18" s="24"/>
      <c r="LRC18" s="24"/>
      <c r="LRE18" s="24"/>
      <c r="LRG18" s="24"/>
      <c r="LRI18" s="24"/>
      <c r="LRK18" s="24"/>
      <c r="LRM18" s="24"/>
      <c r="LRO18" s="24"/>
      <c r="LRQ18" s="24"/>
      <c r="LRS18" s="24"/>
      <c r="LRU18" s="24"/>
      <c r="LRW18" s="24"/>
      <c r="LRY18" s="24"/>
      <c r="LSA18" s="24"/>
      <c r="LSC18" s="24"/>
      <c r="LSE18" s="24"/>
      <c r="LSG18" s="24"/>
      <c r="LSI18" s="24"/>
      <c r="LSK18" s="24"/>
      <c r="LSM18" s="24"/>
      <c r="LSO18" s="24"/>
      <c r="LSQ18" s="24"/>
      <c r="LSS18" s="24"/>
      <c r="LSU18" s="24"/>
      <c r="LSW18" s="24"/>
      <c r="LSY18" s="24"/>
      <c r="LTA18" s="24"/>
      <c r="LTC18" s="24"/>
      <c r="LTE18" s="24"/>
      <c r="LTG18" s="24"/>
      <c r="LTI18" s="24"/>
      <c r="LTK18" s="24"/>
      <c r="LTM18" s="24"/>
      <c r="LTO18" s="24"/>
      <c r="LTQ18" s="24"/>
      <c r="LTS18" s="24"/>
      <c r="LTU18" s="24"/>
      <c r="LTW18" s="24"/>
      <c r="LTY18" s="24"/>
      <c r="LUA18" s="24"/>
      <c r="LUC18" s="24"/>
      <c r="LUE18" s="24"/>
      <c r="LUG18" s="24"/>
      <c r="LUI18" s="24"/>
      <c r="LUK18" s="24"/>
      <c r="LUM18" s="24"/>
      <c r="LUO18" s="24"/>
      <c r="LUQ18" s="24"/>
      <c r="LUS18" s="24"/>
      <c r="LUU18" s="24"/>
      <c r="LUW18" s="24"/>
      <c r="LUY18" s="24"/>
      <c r="LVA18" s="24"/>
      <c r="LVC18" s="24"/>
      <c r="LVE18" s="24"/>
      <c r="LVG18" s="24"/>
      <c r="LVI18" s="24"/>
      <c r="LVK18" s="24"/>
      <c r="LVM18" s="24"/>
      <c r="LVO18" s="24"/>
      <c r="LVQ18" s="24"/>
      <c r="LVS18" s="24"/>
      <c r="LVU18" s="24"/>
      <c r="LVW18" s="24"/>
      <c r="LVY18" s="24"/>
      <c r="LWA18" s="24"/>
      <c r="LWC18" s="24"/>
      <c r="LWE18" s="24"/>
      <c r="LWG18" s="24"/>
      <c r="LWI18" s="24"/>
      <c r="LWK18" s="24"/>
      <c r="LWM18" s="24"/>
      <c r="LWO18" s="24"/>
      <c r="LWQ18" s="24"/>
      <c r="LWS18" s="24"/>
      <c r="LWU18" s="24"/>
      <c r="LWW18" s="24"/>
      <c r="LWY18" s="24"/>
      <c r="LXA18" s="24"/>
      <c r="LXC18" s="24"/>
      <c r="LXE18" s="24"/>
      <c r="LXG18" s="24"/>
      <c r="LXI18" s="24"/>
      <c r="LXK18" s="24"/>
      <c r="LXM18" s="24"/>
      <c r="LXO18" s="24"/>
      <c r="LXQ18" s="24"/>
      <c r="LXS18" s="24"/>
      <c r="LXU18" s="24"/>
      <c r="LXW18" s="24"/>
      <c r="LXY18" s="24"/>
      <c r="LYA18" s="24"/>
      <c r="LYC18" s="24"/>
      <c r="LYE18" s="24"/>
      <c r="LYG18" s="24"/>
      <c r="LYI18" s="24"/>
      <c r="LYK18" s="24"/>
      <c r="LYM18" s="24"/>
      <c r="LYO18" s="24"/>
      <c r="LYQ18" s="24"/>
      <c r="LYS18" s="24"/>
      <c r="LYU18" s="24"/>
      <c r="LYW18" s="24"/>
      <c r="LYY18" s="24"/>
      <c r="LZA18" s="24"/>
      <c r="LZC18" s="24"/>
      <c r="LZE18" s="24"/>
      <c r="LZG18" s="24"/>
      <c r="LZI18" s="24"/>
      <c r="LZK18" s="24"/>
      <c r="LZM18" s="24"/>
      <c r="LZO18" s="24"/>
      <c r="LZQ18" s="24"/>
      <c r="LZS18" s="24"/>
      <c r="LZU18" s="24"/>
      <c r="LZW18" s="24"/>
      <c r="LZY18" s="24"/>
      <c r="MAA18" s="24"/>
      <c r="MAC18" s="24"/>
      <c r="MAE18" s="24"/>
      <c r="MAG18" s="24"/>
      <c r="MAI18" s="24"/>
      <c r="MAK18" s="24"/>
      <c r="MAM18" s="24"/>
      <c r="MAO18" s="24"/>
      <c r="MAQ18" s="24"/>
      <c r="MAS18" s="24"/>
      <c r="MAU18" s="24"/>
      <c r="MAW18" s="24"/>
      <c r="MAY18" s="24"/>
      <c r="MBA18" s="24"/>
      <c r="MBC18" s="24"/>
      <c r="MBE18" s="24"/>
      <c r="MBG18" s="24"/>
      <c r="MBI18" s="24"/>
      <c r="MBK18" s="24"/>
      <c r="MBM18" s="24"/>
      <c r="MBO18" s="24"/>
      <c r="MBQ18" s="24"/>
      <c r="MBS18" s="24"/>
      <c r="MBU18" s="24"/>
      <c r="MBW18" s="24"/>
      <c r="MBY18" s="24"/>
      <c r="MCA18" s="24"/>
      <c r="MCC18" s="24"/>
      <c r="MCE18" s="24"/>
      <c r="MCG18" s="24"/>
      <c r="MCI18" s="24"/>
      <c r="MCK18" s="24"/>
      <c r="MCM18" s="24"/>
      <c r="MCO18" s="24"/>
      <c r="MCQ18" s="24"/>
      <c r="MCS18" s="24"/>
      <c r="MCU18" s="24"/>
      <c r="MCW18" s="24"/>
      <c r="MCY18" s="24"/>
      <c r="MDA18" s="24"/>
      <c r="MDC18" s="24"/>
      <c r="MDE18" s="24"/>
      <c r="MDG18" s="24"/>
      <c r="MDI18" s="24"/>
      <c r="MDK18" s="24"/>
      <c r="MDM18" s="24"/>
      <c r="MDO18" s="24"/>
      <c r="MDQ18" s="24"/>
      <c r="MDS18" s="24"/>
      <c r="MDU18" s="24"/>
      <c r="MDW18" s="24"/>
      <c r="MDY18" s="24"/>
      <c r="MEA18" s="24"/>
      <c r="MEC18" s="24"/>
      <c r="MEE18" s="24"/>
      <c r="MEG18" s="24"/>
      <c r="MEI18" s="24"/>
      <c r="MEK18" s="24"/>
      <c r="MEM18" s="24"/>
      <c r="MEO18" s="24"/>
      <c r="MEQ18" s="24"/>
      <c r="MES18" s="24"/>
      <c r="MEU18" s="24"/>
      <c r="MEW18" s="24"/>
      <c r="MEY18" s="24"/>
      <c r="MFA18" s="24"/>
      <c r="MFC18" s="24"/>
      <c r="MFE18" s="24"/>
      <c r="MFG18" s="24"/>
      <c r="MFI18" s="24"/>
      <c r="MFK18" s="24"/>
      <c r="MFM18" s="24"/>
      <c r="MFO18" s="24"/>
      <c r="MFQ18" s="24"/>
      <c r="MFS18" s="24"/>
      <c r="MFU18" s="24"/>
      <c r="MFW18" s="24"/>
      <c r="MFY18" s="24"/>
      <c r="MGA18" s="24"/>
      <c r="MGC18" s="24"/>
      <c r="MGE18" s="24"/>
      <c r="MGG18" s="24"/>
      <c r="MGI18" s="24"/>
      <c r="MGK18" s="24"/>
      <c r="MGM18" s="24"/>
      <c r="MGO18" s="24"/>
      <c r="MGQ18" s="24"/>
      <c r="MGS18" s="24"/>
      <c r="MGU18" s="24"/>
      <c r="MGW18" s="24"/>
      <c r="MGY18" s="24"/>
      <c r="MHA18" s="24"/>
      <c r="MHC18" s="24"/>
      <c r="MHE18" s="24"/>
      <c r="MHG18" s="24"/>
      <c r="MHI18" s="24"/>
      <c r="MHK18" s="24"/>
      <c r="MHM18" s="24"/>
      <c r="MHO18" s="24"/>
      <c r="MHQ18" s="24"/>
      <c r="MHS18" s="24"/>
      <c r="MHU18" s="24"/>
      <c r="MHW18" s="24"/>
      <c r="MHY18" s="24"/>
      <c r="MIA18" s="24"/>
      <c r="MIC18" s="24"/>
      <c r="MIE18" s="24"/>
      <c r="MIG18" s="24"/>
      <c r="MII18" s="24"/>
      <c r="MIK18" s="24"/>
      <c r="MIM18" s="24"/>
      <c r="MIO18" s="24"/>
      <c r="MIQ18" s="24"/>
      <c r="MIS18" s="24"/>
      <c r="MIU18" s="24"/>
      <c r="MIW18" s="24"/>
      <c r="MIY18" s="24"/>
      <c r="MJA18" s="24"/>
      <c r="MJC18" s="24"/>
      <c r="MJE18" s="24"/>
      <c r="MJG18" s="24"/>
      <c r="MJI18" s="24"/>
      <c r="MJK18" s="24"/>
      <c r="MJM18" s="24"/>
      <c r="MJO18" s="24"/>
      <c r="MJQ18" s="24"/>
      <c r="MJS18" s="24"/>
      <c r="MJU18" s="24"/>
      <c r="MJW18" s="24"/>
      <c r="MJY18" s="24"/>
      <c r="MKA18" s="24"/>
      <c r="MKC18" s="24"/>
      <c r="MKE18" s="24"/>
      <c r="MKG18" s="24"/>
      <c r="MKI18" s="24"/>
      <c r="MKK18" s="24"/>
      <c r="MKM18" s="24"/>
      <c r="MKO18" s="24"/>
      <c r="MKQ18" s="24"/>
      <c r="MKS18" s="24"/>
      <c r="MKU18" s="24"/>
      <c r="MKW18" s="24"/>
      <c r="MKY18" s="24"/>
      <c r="MLA18" s="24"/>
      <c r="MLC18" s="24"/>
      <c r="MLE18" s="24"/>
      <c r="MLG18" s="24"/>
      <c r="MLI18" s="24"/>
      <c r="MLK18" s="24"/>
      <c r="MLM18" s="24"/>
      <c r="MLO18" s="24"/>
      <c r="MLQ18" s="24"/>
      <c r="MLS18" s="24"/>
      <c r="MLU18" s="24"/>
      <c r="MLW18" s="24"/>
      <c r="MLY18" s="24"/>
      <c r="MMA18" s="24"/>
      <c r="MMC18" s="24"/>
      <c r="MME18" s="24"/>
      <c r="MMG18" s="24"/>
      <c r="MMI18" s="24"/>
      <c r="MMK18" s="24"/>
      <c r="MMM18" s="24"/>
      <c r="MMO18" s="24"/>
      <c r="MMQ18" s="24"/>
      <c r="MMS18" s="24"/>
      <c r="MMU18" s="24"/>
      <c r="MMW18" s="24"/>
      <c r="MMY18" s="24"/>
      <c r="MNA18" s="24"/>
      <c r="MNC18" s="24"/>
      <c r="MNE18" s="24"/>
      <c r="MNG18" s="24"/>
      <c r="MNI18" s="24"/>
      <c r="MNK18" s="24"/>
      <c r="MNM18" s="24"/>
      <c r="MNO18" s="24"/>
      <c r="MNQ18" s="24"/>
      <c r="MNS18" s="24"/>
      <c r="MNU18" s="24"/>
      <c r="MNW18" s="24"/>
      <c r="MNY18" s="24"/>
      <c r="MOA18" s="24"/>
      <c r="MOC18" s="24"/>
      <c r="MOE18" s="24"/>
      <c r="MOG18" s="24"/>
      <c r="MOI18" s="24"/>
      <c r="MOK18" s="24"/>
      <c r="MOM18" s="24"/>
      <c r="MOO18" s="24"/>
      <c r="MOQ18" s="24"/>
      <c r="MOS18" s="24"/>
      <c r="MOU18" s="24"/>
      <c r="MOW18" s="24"/>
      <c r="MOY18" s="24"/>
      <c r="MPA18" s="24"/>
      <c r="MPC18" s="24"/>
      <c r="MPE18" s="24"/>
      <c r="MPG18" s="24"/>
      <c r="MPI18" s="24"/>
      <c r="MPK18" s="24"/>
      <c r="MPM18" s="24"/>
      <c r="MPO18" s="24"/>
      <c r="MPQ18" s="24"/>
      <c r="MPS18" s="24"/>
      <c r="MPU18" s="24"/>
      <c r="MPW18" s="24"/>
      <c r="MPY18" s="24"/>
      <c r="MQA18" s="24"/>
      <c r="MQC18" s="24"/>
      <c r="MQE18" s="24"/>
      <c r="MQG18" s="24"/>
      <c r="MQI18" s="24"/>
      <c r="MQK18" s="24"/>
      <c r="MQM18" s="24"/>
      <c r="MQO18" s="24"/>
      <c r="MQQ18" s="24"/>
      <c r="MQS18" s="24"/>
      <c r="MQU18" s="24"/>
      <c r="MQW18" s="24"/>
      <c r="MQY18" s="24"/>
      <c r="MRA18" s="24"/>
      <c r="MRC18" s="24"/>
      <c r="MRE18" s="24"/>
      <c r="MRG18" s="24"/>
      <c r="MRI18" s="24"/>
      <c r="MRK18" s="24"/>
      <c r="MRM18" s="24"/>
      <c r="MRO18" s="24"/>
      <c r="MRQ18" s="24"/>
      <c r="MRS18" s="24"/>
      <c r="MRU18" s="24"/>
      <c r="MRW18" s="24"/>
      <c r="MRY18" s="24"/>
      <c r="MSA18" s="24"/>
      <c r="MSC18" s="24"/>
      <c r="MSE18" s="24"/>
      <c r="MSG18" s="24"/>
      <c r="MSI18" s="24"/>
      <c r="MSK18" s="24"/>
      <c r="MSM18" s="24"/>
      <c r="MSO18" s="24"/>
      <c r="MSQ18" s="24"/>
      <c r="MSS18" s="24"/>
      <c r="MSU18" s="24"/>
      <c r="MSW18" s="24"/>
      <c r="MSY18" s="24"/>
      <c r="MTA18" s="24"/>
      <c r="MTC18" s="24"/>
      <c r="MTE18" s="24"/>
      <c r="MTG18" s="24"/>
      <c r="MTI18" s="24"/>
      <c r="MTK18" s="24"/>
      <c r="MTM18" s="24"/>
      <c r="MTO18" s="24"/>
      <c r="MTQ18" s="24"/>
      <c r="MTS18" s="24"/>
      <c r="MTU18" s="24"/>
      <c r="MTW18" s="24"/>
      <c r="MTY18" s="24"/>
      <c r="MUA18" s="24"/>
      <c r="MUC18" s="24"/>
      <c r="MUE18" s="24"/>
      <c r="MUG18" s="24"/>
      <c r="MUI18" s="24"/>
      <c r="MUK18" s="24"/>
      <c r="MUM18" s="24"/>
      <c r="MUO18" s="24"/>
      <c r="MUQ18" s="24"/>
      <c r="MUS18" s="24"/>
      <c r="MUU18" s="24"/>
      <c r="MUW18" s="24"/>
      <c r="MUY18" s="24"/>
      <c r="MVA18" s="24"/>
      <c r="MVC18" s="24"/>
      <c r="MVE18" s="24"/>
      <c r="MVG18" s="24"/>
      <c r="MVI18" s="24"/>
      <c r="MVK18" s="24"/>
      <c r="MVM18" s="24"/>
      <c r="MVO18" s="24"/>
      <c r="MVQ18" s="24"/>
      <c r="MVS18" s="24"/>
      <c r="MVU18" s="24"/>
      <c r="MVW18" s="24"/>
      <c r="MVY18" s="24"/>
      <c r="MWA18" s="24"/>
      <c r="MWC18" s="24"/>
      <c r="MWE18" s="24"/>
      <c r="MWG18" s="24"/>
      <c r="MWI18" s="24"/>
      <c r="MWK18" s="24"/>
      <c r="MWM18" s="24"/>
      <c r="MWO18" s="24"/>
      <c r="MWQ18" s="24"/>
      <c r="MWS18" s="24"/>
      <c r="MWU18" s="24"/>
      <c r="MWW18" s="24"/>
      <c r="MWY18" s="24"/>
      <c r="MXA18" s="24"/>
      <c r="MXC18" s="24"/>
      <c r="MXE18" s="24"/>
      <c r="MXG18" s="24"/>
      <c r="MXI18" s="24"/>
      <c r="MXK18" s="24"/>
      <c r="MXM18" s="24"/>
      <c r="MXO18" s="24"/>
      <c r="MXQ18" s="24"/>
      <c r="MXS18" s="24"/>
      <c r="MXU18" s="24"/>
      <c r="MXW18" s="24"/>
      <c r="MXY18" s="24"/>
      <c r="MYA18" s="24"/>
      <c r="MYC18" s="24"/>
      <c r="MYE18" s="24"/>
      <c r="MYG18" s="24"/>
      <c r="MYI18" s="24"/>
      <c r="MYK18" s="24"/>
      <c r="MYM18" s="24"/>
      <c r="MYO18" s="24"/>
      <c r="MYQ18" s="24"/>
      <c r="MYS18" s="24"/>
      <c r="MYU18" s="24"/>
      <c r="MYW18" s="24"/>
      <c r="MYY18" s="24"/>
      <c r="MZA18" s="24"/>
      <c r="MZC18" s="24"/>
      <c r="MZE18" s="24"/>
      <c r="MZG18" s="24"/>
      <c r="MZI18" s="24"/>
      <c r="MZK18" s="24"/>
      <c r="MZM18" s="24"/>
      <c r="MZO18" s="24"/>
      <c r="MZQ18" s="24"/>
      <c r="MZS18" s="24"/>
      <c r="MZU18" s="24"/>
      <c r="MZW18" s="24"/>
      <c r="MZY18" s="24"/>
      <c r="NAA18" s="24"/>
      <c r="NAC18" s="24"/>
      <c r="NAE18" s="24"/>
      <c r="NAG18" s="24"/>
      <c r="NAI18" s="24"/>
      <c r="NAK18" s="24"/>
      <c r="NAM18" s="24"/>
      <c r="NAO18" s="24"/>
      <c r="NAQ18" s="24"/>
      <c r="NAS18" s="24"/>
      <c r="NAU18" s="24"/>
      <c r="NAW18" s="24"/>
      <c r="NAY18" s="24"/>
      <c r="NBA18" s="24"/>
      <c r="NBC18" s="24"/>
      <c r="NBE18" s="24"/>
      <c r="NBG18" s="24"/>
      <c r="NBI18" s="24"/>
      <c r="NBK18" s="24"/>
      <c r="NBM18" s="24"/>
      <c r="NBO18" s="24"/>
      <c r="NBQ18" s="24"/>
      <c r="NBS18" s="24"/>
      <c r="NBU18" s="24"/>
      <c r="NBW18" s="24"/>
      <c r="NBY18" s="24"/>
      <c r="NCA18" s="24"/>
      <c r="NCC18" s="24"/>
      <c r="NCE18" s="24"/>
      <c r="NCG18" s="24"/>
      <c r="NCI18" s="24"/>
      <c r="NCK18" s="24"/>
      <c r="NCM18" s="24"/>
      <c r="NCO18" s="24"/>
      <c r="NCQ18" s="24"/>
      <c r="NCS18" s="24"/>
      <c r="NCU18" s="24"/>
      <c r="NCW18" s="24"/>
      <c r="NCY18" s="24"/>
      <c r="NDA18" s="24"/>
      <c r="NDC18" s="24"/>
      <c r="NDE18" s="24"/>
      <c r="NDG18" s="24"/>
      <c r="NDI18" s="24"/>
      <c r="NDK18" s="24"/>
      <c r="NDM18" s="24"/>
      <c r="NDO18" s="24"/>
      <c r="NDQ18" s="24"/>
      <c r="NDS18" s="24"/>
      <c r="NDU18" s="24"/>
      <c r="NDW18" s="24"/>
      <c r="NDY18" s="24"/>
      <c r="NEA18" s="24"/>
      <c r="NEC18" s="24"/>
      <c r="NEE18" s="24"/>
      <c r="NEG18" s="24"/>
      <c r="NEI18" s="24"/>
      <c r="NEK18" s="24"/>
      <c r="NEM18" s="24"/>
      <c r="NEO18" s="24"/>
      <c r="NEQ18" s="24"/>
      <c r="NES18" s="24"/>
      <c r="NEU18" s="24"/>
      <c r="NEW18" s="24"/>
      <c r="NEY18" s="24"/>
      <c r="NFA18" s="24"/>
      <c r="NFC18" s="24"/>
      <c r="NFE18" s="24"/>
      <c r="NFG18" s="24"/>
      <c r="NFI18" s="24"/>
      <c r="NFK18" s="24"/>
      <c r="NFM18" s="24"/>
      <c r="NFO18" s="24"/>
      <c r="NFQ18" s="24"/>
      <c r="NFS18" s="24"/>
      <c r="NFU18" s="24"/>
      <c r="NFW18" s="24"/>
      <c r="NFY18" s="24"/>
      <c r="NGA18" s="24"/>
      <c r="NGC18" s="24"/>
      <c r="NGE18" s="24"/>
      <c r="NGG18" s="24"/>
      <c r="NGI18" s="24"/>
      <c r="NGK18" s="24"/>
      <c r="NGM18" s="24"/>
      <c r="NGO18" s="24"/>
      <c r="NGQ18" s="24"/>
      <c r="NGS18" s="24"/>
      <c r="NGU18" s="24"/>
      <c r="NGW18" s="24"/>
      <c r="NGY18" s="24"/>
      <c r="NHA18" s="24"/>
      <c r="NHC18" s="24"/>
      <c r="NHE18" s="24"/>
      <c r="NHG18" s="24"/>
      <c r="NHI18" s="24"/>
      <c r="NHK18" s="24"/>
      <c r="NHM18" s="24"/>
      <c r="NHO18" s="24"/>
      <c r="NHQ18" s="24"/>
      <c r="NHS18" s="24"/>
      <c r="NHU18" s="24"/>
      <c r="NHW18" s="24"/>
      <c r="NHY18" s="24"/>
      <c r="NIA18" s="24"/>
      <c r="NIC18" s="24"/>
      <c r="NIE18" s="24"/>
      <c r="NIG18" s="24"/>
      <c r="NII18" s="24"/>
      <c r="NIK18" s="24"/>
      <c r="NIM18" s="24"/>
      <c r="NIO18" s="24"/>
      <c r="NIQ18" s="24"/>
      <c r="NIS18" s="24"/>
      <c r="NIU18" s="24"/>
      <c r="NIW18" s="24"/>
      <c r="NIY18" s="24"/>
      <c r="NJA18" s="24"/>
      <c r="NJC18" s="24"/>
      <c r="NJE18" s="24"/>
      <c r="NJG18" s="24"/>
      <c r="NJI18" s="24"/>
      <c r="NJK18" s="24"/>
      <c r="NJM18" s="24"/>
      <c r="NJO18" s="24"/>
      <c r="NJQ18" s="24"/>
      <c r="NJS18" s="24"/>
      <c r="NJU18" s="24"/>
      <c r="NJW18" s="24"/>
      <c r="NJY18" s="24"/>
      <c r="NKA18" s="24"/>
      <c r="NKC18" s="24"/>
      <c r="NKE18" s="24"/>
      <c r="NKG18" s="24"/>
      <c r="NKI18" s="24"/>
      <c r="NKK18" s="24"/>
      <c r="NKM18" s="24"/>
      <c r="NKO18" s="24"/>
      <c r="NKQ18" s="24"/>
      <c r="NKS18" s="24"/>
      <c r="NKU18" s="24"/>
      <c r="NKW18" s="24"/>
      <c r="NKY18" s="24"/>
      <c r="NLA18" s="24"/>
      <c r="NLC18" s="24"/>
      <c r="NLE18" s="24"/>
      <c r="NLG18" s="24"/>
      <c r="NLI18" s="24"/>
      <c r="NLK18" s="24"/>
      <c r="NLM18" s="24"/>
      <c r="NLO18" s="24"/>
      <c r="NLQ18" s="24"/>
      <c r="NLS18" s="24"/>
      <c r="NLU18" s="24"/>
      <c r="NLW18" s="24"/>
      <c r="NLY18" s="24"/>
      <c r="NMA18" s="24"/>
      <c r="NMC18" s="24"/>
      <c r="NME18" s="24"/>
      <c r="NMG18" s="24"/>
      <c r="NMI18" s="24"/>
      <c r="NMK18" s="24"/>
      <c r="NMM18" s="24"/>
      <c r="NMO18" s="24"/>
      <c r="NMQ18" s="24"/>
      <c r="NMS18" s="24"/>
      <c r="NMU18" s="24"/>
      <c r="NMW18" s="24"/>
      <c r="NMY18" s="24"/>
      <c r="NNA18" s="24"/>
      <c r="NNC18" s="24"/>
      <c r="NNE18" s="24"/>
      <c r="NNG18" s="24"/>
      <c r="NNI18" s="24"/>
      <c r="NNK18" s="24"/>
      <c r="NNM18" s="24"/>
      <c r="NNO18" s="24"/>
      <c r="NNQ18" s="24"/>
      <c r="NNS18" s="24"/>
      <c r="NNU18" s="24"/>
      <c r="NNW18" s="24"/>
      <c r="NNY18" s="24"/>
      <c r="NOA18" s="24"/>
      <c r="NOC18" s="24"/>
      <c r="NOE18" s="24"/>
      <c r="NOG18" s="24"/>
      <c r="NOI18" s="24"/>
      <c r="NOK18" s="24"/>
      <c r="NOM18" s="24"/>
      <c r="NOO18" s="24"/>
      <c r="NOQ18" s="24"/>
      <c r="NOS18" s="24"/>
      <c r="NOU18" s="24"/>
      <c r="NOW18" s="24"/>
      <c r="NOY18" s="24"/>
      <c r="NPA18" s="24"/>
      <c r="NPC18" s="24"/>
      <c r="NPE18" s="24"/>
      <c r="NPG18" s="24"/>
      <c r="NPI18" s="24"/>
      <c r="NPK18" s="24"/>
      <c r="NPM18" s="24"/>
      <c r="NPO18" s="24"/>
      <c r="NPQ18" s="24"/>
      <c r="NPS18" s="24"/>
      <c r="NPU18" s="24"/>
      <c r="NPW18" s="24"/>
      <c r="NPY18" s="24"/>
      <c r="NQA18" s="24"/>
      <c r="NQC18" s="24"/>
      <c r="NQE18" s="24"/>
      <c r="NQG18" s="24"/>
      <c r="NQI18" s="24"/>
      <c r="NQK18" s="24"/>
      <c r="NQM18" s="24"/>
      <c r="NQO18" s="24"/>
      <c r="NQQ18" s="24"/>
      <c r="NQS18" s="24"/>
      <c r="NQU18" s="24"/>
      <c r="NQW18" s="24"/>
      <c r="NQY18" s="24"/>
      <c r="NRA18" s="24"/>
      <c r="NRC18" s="24"/>
      <c r="NRE18" s="24"/>
      <c r="NRG18" s="24"/>
      <c r="NRI18" s="24"/>
      <c r="NRK18" s="24"/>
      <c r="NRM18" s="24"/>
      <c r="NRO18" s="24"/>
      <c r="NRQ18" s="24"/>
      <c r="NRS18" s="24"/>
      <c r="NRU18" s="24"/>
      <c r="NRW18" s="24"/>
      <c r="NRY18" s="24"/>
      <c r="NSA18" s="24"/>
      <c r="NSC18" s="24"/>
      <c r="NSE18" s="24"/>
      <c r="NSG18" s="24"/>
      <c r="NSI18" s="24"/>
      <c r="NSK18" s="24"/>
      <c r="NSM18" s="24"/>
      <c r="NSO18" s="24"/>
      <c r="NSQ18" s="24"/>
      <c r="NSS18" s="24"/>
      <c r="NSU18" s="24"/>
      <c r="NSW18" s="24"/>
      <c r="NSY18" s="24"/>
      <c r="NTA18" s="24"/>
      <c r="NTC18" s="24"/>
      <c r="NTE18" s="24"/>
      <c r="NTG18" s="24"/>
      <c r="NTI18" s="24"/>
      <c r="NTK18" s="24"/>
      <c r="NTM18" s="24"/>
      <c r="NTO18" s="24"/>
      <c r="NTQ18" s="24"/>
      <c r="NTS18" s="24"/>
      <c r="NTU18" s="24"/>
      <c r="NTW18" s="24"/>
      <c r="NTY18" s="24"/>
      <c r="NUA18" s="24"/>
      <c r="NUC18" s="24"/>
      <c r="NUE18" s="24"/>
      <c r="NUG18" s="24"/>
      <c r="NUI18" s="24"/>
      <c r="NUK18" s="24"/>
      <c r="NUM18" s="24"/>
      <c r="NUO18" s="24"/>
      <c r="NUQ18" s="24"/>
      <c r="NUS18" s="24"/>
      <c r="NUU18" s="24"/>
      <c r="NUW18" s="24"/>
      <c r="NUY18" s="24"/>
      <c r="NVA18" s="24"/>
      <c r="NVC18" s="24"/>
      <c r="NVE18" s="24"/>
      <c r="NVG18" s="24"/>
      <c r="NVI18" s="24"/>
      <c r="NVK18" s="24"/>
      <c r="NVM18" s="24"/>
      <c r="NVO18" s="24"/>
      <c r="NVQ18" s="24"/>
      <c r="NVS18" s="24"/>
      <c r="NVU18" s="24"/>
      <c r="NVW18" s="24"/>
      <c r="NVY18" s="24"/>
      <c r="NWA18" s="24"/>
      <c r="NWC18" s="24"/>
      <c r="NWE18" s="24"/>
      <c r="NWG18" s="24"/>
      <c r="NWI18" s="24"/>
      <c r="NWK18" s="24"/>
      <c r="NWM18" s="24"/>
      <c r="NWO18" s="24"/>
      <c r="NWQ18" s="24"/>
      <c r="NWS18" s="24"/>
      <c r="NWU18" s="24"/>
      <c r="NWW18" s="24"/>
      <c r="NWY18" s="24"/>
      <c r="NXA18" s="24"/>
      <c r="NXC18" s="24"/>
      <c r="NXE18" s="24"/>
      <c r="NXG18" s="24"/>
      <c r="NXI18" s="24"/>
      <c r="NXK18" s="24"/>
      <c r="NXM18" s="24"/>
      <c r="NXO18" s="24"/>
      <c r="NXQ18" s="24"/>
      <c r="NXS18" s="24"/>
      <c r="NXU18" s="24"/>
      <c r="NXW18" s="24"/>
      <c r="NXY18" s="24"/>
      <c r="NYA18" s="24"/>
      <c r="NYC18" s="24"/>
      <c r="NYE18" s="24"/>
      <c r="NYG18" s="24"/>
      <c r="NYI18" s="24"/>
      <c r="NYK18" s="24"/>
      <c r="NYM18" s="24"/>
      <c r="NYO18" s="24"/>
      <c r="NYQ18" s="24"/>
      <c r="NYS18" s="24"/>
      <c r="NYU18" s="24"/>
      <c r="NYW18" s="24"/>
      <c r="NYY18" s="24"/>
      <c r="NZA18" s="24"/>
      <c r="NZC18" s="24"/>
      <c r="NZE18" s="24"/>
      <c r="NZG18" s="24"/>
      <c r="NZI18" s="24"/>
      <c r="NZK18" s="24"/>
      <c r="NZM18" s="24"/>
      <c r="NZO18" s="24"/>
      <c r="NZQ18" s="24"/>
      <c r="NZS18" s="24"/>
      <c r="NZU18" s="24"/>
      <c r="NZW18" s="24"/>
      <c r="NZY18" s="24"/>
      <c r="OAA18" s="24"/>
      <c r="OAC18" s="24"/>
      <c r="OAE18" s="24"/>
      <c r="OAG18" s="24"/>
      <c r="OAI18" s="24"/>
      <c r="OAK18" s="24"/>
      <c r="OAM18" s="24"/>
      <c r="OAO18" s="24"/>
      <c r="OAQ18" s="24"/>
      <c r="OAS18" s="24"/>
      <c r="OAU18" s="24"/>
      <c r="OAW18" s="24"/>
      <c r="OAY18" s="24"/>
      <c r="OBA18" s="24"/>
      <c r="OBC18" s="24"/>
      <c r="OBE18" s="24"/>
      <c r="OBG18" s="24"/>
      <c r="OBI18" s="24"/>
      <c r="OBK18" s="24"/>
      <c r="OBM18" s="24"/>
      <c r="OBO18" s="24"/>
      <c r="OBQ18" s="24"/>
      <c r="OBS18" s="24"/>
      <c r="OBU18" s="24"/>
      <c r="OBW18" s="24"/>
      <c r="OBY18" s="24"/>
      <c r="OCA18" s="24"/>
      <c r="OCC18" s="24"/>
      <c r="OCE18" s="24"/>
      <c r="OCG18" s="24"/>
      <c r="OCI18" s="24"/>
      <c r="OCK18" s="24"/>
      <c r="OCM18" s="24"/>
      <c r="OCO18" s="24"/>
      <c r="OCQ18" s="24"/>
      <c r="OCS18" s="24"/>
      <c r="OCU18" s="24"/>
      <c r="OCW18" s="24"/>
      <c r="OCY18" s="24"/>
      <c r="ODA18" s="24"/>
      <c r="ODC18" s="24"/>
      <c r="ODE18" s="24"/>
      <c r="ODG18" s="24"/>
      <c r="ODI18" s="24"/>
      <c r="ODK18" s="24"/>
      <c r="ODM18" s="24"/>
      <c r="ODO18" s="24"/>
      <c r="ODQ18" s="24"/>
      <c r="ODS18" s="24"/>
      <c r="ODU18" s="24"/>
      <c r="ODW18" s="24"/>
      <c r="ODY18" s="24"/>
      <c r="OEA18" s="24"/>
      <c r="OEC18" s="24"/>
      <c r="OEE18" s="24"/>
      <c r="OEG18" s="24"/>
      <c r="OEI18" s="24"/>
      <c r="OEK18" s="24"/>
      <c r="OEM18" s="24"/>
      <c r="OEO18" s="24"/>
      <c r="OEQ18" s="24"/>
      <c r="OES18" s="24"/>
      <c r="OEU18" s="24"/>
      <c r="OEW18" s="24"/>
      <c r="OEY18" s="24"/>
      <c r="OFA18" s="24"/>
      <c r="OFC18" s="24"/>
      <c r="OFE18" s="24"/>
      <c r="OFG18" s="24"/>
      <c r="OFI18" s="24"/>
      <c r="OFK18" s="24"/>
      <c r="OFM18" s="24"/>
      <c r="OFO18" s="24"/>
      <c r="OFQ18" s="24"/>
      <c r="OFS18" s="24"/>
      <c r="OFU18" s="24"/>
      <c r="OFW18" s="24"/>
      <c r="OFY18" s="24"/>
      <c r="OGA18" s="24"/>
      <c r="OGC18" s="24"/>
      <c r="OGE18" s="24"/>
      <c r="OGG18" s="24"/>
      <c r="OGI18" s="24"/>
      <c r="OGK18" s="24"/>
      <c r="OGM18" s="24"/>
      <c r="OGO18" s="24"/>
      <c r="OGQ18" s="24"/>
      <c r="OGS18" s="24"/>
      <c r="OGU18" s="24"/>
      <c r="OGW18" s="24"/>
      <c r="OGY18" s="24"/>
      <c r="OHA18" s="24"/>
      <c r="OHC18" s="24"/>
      <c r="OHE18" s="24"/>
      <c r="OHG18" s="24"/>
      <c r="OHI18" s="24"/>
      <c r="OHK18" s="24"/>
      <c r="OHM18" s="24"/>
      <c r="OHO18" s="24"/>
      <c r="OHQ18" s="24"/>
      <c r="OHS18" s="24"/>
      <c r="OHU18" s="24"/>
      <c r="OHW18" s="24"/>
      <c r="OHY18" s="24"/>
      <c r="OIA18" s="24"/>
      <c r="OIC18" s="24"/>
      <c r="OIE18" s="24"/>
      <c r="OIG18" s="24"/>
      <c r="OII18" s="24"/>
      <c r="OIK18" s="24"/>
      <c r="OIM18" s="24"/>
      <c r="OIO18" s="24"/>
      <c r="OIQ18" s="24"/>
      <c r="OIS18" s="24"/>
      <c r="OIU18" s="24"/>
      <c r="OIW18" s="24"/>
      <c r="OIY18" s="24"/>
      <c r="OJA18" s="24"/>
      <c r="OJC18" s="24"/>
      <c r="OJE18" s="24"/>
      <c r="OJG18" s="24"/>
      <c r="OJI18" s="24"/>
      <c r="OJK18" s="24"/>
      <c r="OJM18" s="24"/>
      <c r="OJO18" s="24"/>
      <c r="OJQ18" s="24"/>
      <c r="OJS18" s="24"/>
      <c r="OJU18" s="24"/>
      <c r="OJW18" s="24"/>
      <c r="OJY18" s="24"/>
      <c r="OKA18" s="24"/>
      <c r="OKC18" s="24"/>
      <c r="OKE18" s="24"/>
      <c r="OKG18" s="24"/>
      <c r="OKI18" s="24"/>
      <c r="OKK18" s="24"/>
      <c r="OKM18" s="24"/>
      <c r="OKO18" s="24"/>
      <c r="OKQ18" s="24"/>
      <c r="OKS18" s="24"/>
      <c r="OKU18" s="24"/>
      <c r="OKW18" s="24"/>
      <c r="OKY18" s="24"/>
      <c r="OLA18" s="24"/>
      <c r="OLC18" s="24"/>
      <c r="OLE18" s="24"/>
      <c r="OLG18" s="24"/>
      <c r="OLI18" s="24"/>
      <c r="OLK18" s="24"/>
      <c r="OLM18" s="24"/>
      <c r="OLO18" s="24"/>
      <c r="OLQ18" s="24"/>
      <c r="OLS18" s="24"/>
      <c r="OLU18" s="24"/>
      <c r="OLW18" s="24"/>
      <c r="OLY18" s="24"/>
      <c r="OMA18" s="24"/>
      <c r="OMC18" s="24"/>
      <c r="OME18" s="24"/>
      <c r="OMG18" s="24"/>
      <c r="OMI18" s="24"/>
      <c r="OMK18" s="24"/>
      <c r="OMM18" s="24"/>
      <c r="OMO18" s="24"/>
      <c r="OMQ18" s="24"/>
      <c r="OMS18" s="24"/>
      <c r="OMU18" s="24"/>
      <c r="OMW18" s="24"/>
      <c r="OMY18" s="24"/>
      <c r="ONA18" s="24"/>
      <c r="ONC18" s="24"/>
      <c r="ONE18" s="24"/>
      <c r="ONG18" s="24"/>
      <c r="ONI18" s="24"/>
      <c r="ONK18" s="24"/>
      <c r="ONM18" s="24"/>
      <c r="ONO18" s="24"/>
      <c r="ONQ18" s="24"/>
      <c r="ONS18" s="24"/>
      <c r="ONU18" s="24"/>
      <c r="ONW18" s="24"/>
      <c r="ONY18" s="24"/>
      <c r="OOA18" s="24"/>
      <c r="OOC18" s="24"/>
      <c r="OOE18" s="24"/>
      <c r="OOG18" s="24"/>
      <c r="OOI18" s="24"/>
      <c r="OOK18" s="24"/>
      <c r="OOM18" s="24"/>
      <c r="OOO18" s="24"/>
      <c r="OOQ18" s="24"/>
      <c r="OOS18" s="24"/>
      <c r="OOU18" s="24"/>
      <c r="OOW18" s="24"/>
      <c r="OOY18" s="24"/>
      <c r="OPA18" s="24"/>
      <c r="OPC18" s="24"/>
      <c r="OPE18" s="24"/>
      <c r="OPG18" s="24"/>
      <c r="OPI18" s="24"/>
      <c r="OPK18" s="24"/>
      <c r="OPM18" s="24"/>
      <c r="OPO18" s="24"/>
      <c r="OPQ18" s="24"/>
      <c r="OPS18" s="24"/>
      <c r="OPU18" s="24"/>
      <c r="OPW18" s="24"/>
      <c r="OPY18" s="24"/>
      <c r="OQA18" s="24"/>
      <c r="OQC18" s="24"/>
      <c r="OQE18" s="24"/>
      <c r="OQG18" s="24"/>
      <c r="OQI18" s="24"/>
      <c r="OQK18" s="24"/>
      <c r="OQM18" s="24"/>
      <c r="OQO18" s="24"/>
      <c r="OQQ18" s="24"/>
      <c r="OQS18" s="24"/>
      <c r="OQU18" s="24"/>
      <c r="OQW18" s="24"/>
      <c r="OQY18" s="24"/>
      <c r="ORA18" s="24"/>
      <c r="ORC18" s="24"/>
      <c r="ORE18" s="24"/>
      <c r="ORG18" s="24"/>
      <c r="ORI18" s="24"/>
      <c r="ORK18" s="24"/>
      <c r="ORM18" s="24"/>
      <c r="ORO18" s="24"/>
      <c r="ORQ18" s="24"/>
      <c r="ORS18" s="24"/>
      <c r="ORU18" s="24"/>
      <c r="ORW18" s="24"/>
      <c r="ORY18" s="24"/>
      <c r="OSA18" s="24"/>
      <c r="OSC18" s="24"/>
      <c r="OSE18" s="24"/>
      <c r="OSG18" s="24"/>
      <c r="OSI18" s="24"/>
      <c r="OSK18" s="24"/>
      <c r="OSM18" s="24"/>
      <c r="OSO18" s="24"/>
      <c r="OSQ18" s="24"/>
      <c r="OSS18" s="24"/>
      <c r="OSU18" s="24"/>
      <c r="OSW18" s="24"/>
      <c r="OSY18" s="24"/>
      <c r="OTA18" s="24"/>
      <c r="OTC18" s="24"/>
      <c r="OTE18" s="24"/>
      <c r="OTG18" s="24"/>
      <c r="OTI18" s="24"/>
      <c r="OTK18" s="24"/>
      <c r="OTM18" s="24"/>
      <c r="OTO18" s="24"/>
      <c r="OTQ18" s="24"/>
      <c r="OTS18" s="24"/>
      <c r="OTU18" s="24"/>
      <c r="OTW18" s="24"/>
      <c r="OTY18" s="24"/>
      <c r="OUA18" s="24"/>
      <c r="OUC18" s="24"/>
      <c r="OUE18" s="24"/>
      <c r="OUG18" s="24"/>
      <c r="OUI18" s="24"/>
      <c r="OUK18" s="24"/>
      <c r="OUM18" s="24"/>
      <c r="OUO18" s="24"/>
      <c r="OUQ18" s="24"/>
      <c r="OUS18" s="24"/>
      <c r="OUU18" s="24"/>
      <c r="OUW18" s="24"/>
      <c r="OUY18" s="24"/>
      <c r="OVA18" s="24"/>
      <c r="OVC18" s="24"/>
      <c r="OVE18" s="24"/>
      <c r="OVG18" s="24"/>
      <c r="OVI18" s="24"/>
      <c r="OVK18" s="24"/>
      <c r="OVM18" s="24"/>
      <c r="OVO18" s="24"/>
      <c r="OVQ18" s="24"/>
      <c r="OVS18" s="24"/>
      <c r="OVU18" s="24"/>
      <c r="OVW18" s="24"/>
      <c r="OVY18" s="24"/>
      <c r="OWA18" s="24"/>
      <c r="OWC18" s="24"/>
      <c r="OWE18" s="24"/>
      <c r="OWG18" s="24"/>
      <c r="OWI18" s="24"/>
      <c r="OWK18" s="24"/>
      <c r="OWM18" s="24"/>
      <c r="OWO18" s="24"/>
      <c r="OWQ18" s="24"/>
      <c r="OWS18" s="24"/>
      <c r="OWU18" s="24"/>
      <c r="OWW18" s="24"/>
      <c r="OWY18" s="24"/>
      <c r="OXA18" s="24"/>
      <c r="OXC18" s="24"/>
      <c r="OXE18" s="24"/>
      <c r="OXG18" s="24"/>
      <c r="OXI18" s="24"/>
      <c r="OXK18" s="24"/>
      <c r="OXM18" s="24"/>
      <c r="OXO18" s="24"/>
      <c r="OXQ18" s="24"/>
      <c r="OXS18" s="24"/>
      <c r="OXU18" s="24"/>
      <c r="OXW18" s="24"/>
      <c r="OXY18" s="24"/>
      <c r="OYA18" s="24"/>
      <c r="OYC18" s="24"/>
      <c r="OYE18" s="24"/>
      <c r="OYG18" s="24"/>
      <c r="OYI18" s="24"/>
      <c r="OYK18" s="24"/>
      <c r="OYM18" s="24"/>
      <c r="OYO18" s="24"/>
      <c r="OYQ18" s="24"/>
      <c r="OYS18" s="24"/>
      <c r="OYU18" s="24"/>
      <c r="OYW18" s="24"/>
      <c r="OYY18" s="24"/>
      <c r="OZA18" s="24"/>
      <c r="OZC18" s="24"/>
      <c r="OZE18" s="24"/>
      <c r="OZG18" s="24"/>
      <c r="OZI18" s="24"/>
      <c r="OZK18" s="24"/>
      <c r="OZM18" s="24"/>
      <c r="OZO18" s="24"/>
      <c r="OZQ18" s="24"/>
      <c r="OZS18" s="24"/>
      <c r="OZU18" s="24"/>
      <c r="OZW18" s="24"/>
      <c r="OZY18" s="24"/>
      <c r="PAA18" s="24"/>
      <c r="PAC18" s="24"/>
      <c r="PAE18" s="24"/>
      <c r="PAG18" s="24"/>
      <c r="PAI18" s="24"/>
      <c r="PAK18" s="24"/>
      <c r="PAM18" s="24"/>
      <c r="PAO18" s="24"/>
      <c r="PAQ18" s="24"/>
      <c r="PAS18" s="24"/>
      <c r="PAU18" s="24"/>
      <c r="PAW18" s="24"/>
      <c r="PAY18" s="24"/>
      <c r="PBA18" s="24"/>
      <c r="PBC18" s="24"/>
      <c r="PBE18" s="24"/>
      <c r="PBG18" s="24"/>
      <c r="PBI18" s="24"/>
      <c r="PBK18" s="24"/>
      <c r="PBM18" s="24"/>
      <c r="PBO18" s="24"/>
      <c r="PBQ18" s="24"/>
      <c r="PBS18" s="24"/>
      <c r="PBU18" s="24"/>
      <c r="PBW18" s="24"/>
      <c r="PBY18" s="24"/>
      <c r="PCA18" s="24"/>
      <c r="PCC18" s="24"/>
      <c r="PCE18" s="24"/>
      <c r="PCG18" s="24"/>
      <c r="PCI18" s="24"/>
      <c r="PCK18" s="24"/>
      <c r="PCM18" s="24"/>
      <c r="PCO18" s="24"/>
      <c r="PCQ18" s="24"/>
      <c r="PCS18" s="24"/>
      <c r="PCU18" s="24"/>
      <c r="PCW18" s="24"/>
      <c r="PCY18" s="24"/>
      <c r="PDA18" s="24"/>
      <c r="PDC18" s="24"/>
      <c r="PDE18" s="24"/>
      <c r="PDG18" s="24"/>
      <c r="PDI18" s="24"/>
      <c r="PDK18" s="24"/>
      <c r="PDM18" s="24"/>
      <c r="PDO18" s="24"/>
      <c r="PDQ18" s="24"/>
      <c r="PDS18" s="24"/>
      <c r="PDU18" s="24"/>
      <c r="PDW18" s="24"/>
      <c r="PDY18" s="24"/>
      <c r="PEA18" s="24"/>
      <c r="PEC18" s="24"/>
      <c r="PEE18" s="24"/>
      <c r="PEG18" s="24"/>
      <c r="PEI18" s="24"/>
      <c r="PEK18" s="24"/>
      <c r="PEM18" s="24"/>
      <c r="PEO18" s="24"/>
      <c r="PEQ18" s="24"/>
      <c r="PES18" s="24"/>
      <c r="PEU18" s="24"/>
      <c r="PEW18" s="24"/>
      <c r="PEY18" s="24"/>
      <c r="PFA18" s="24"/>
      <c r="PFC18" s="24"/>
      <c r="PFE18" s="24"/>
      <c r="PFG18" s="24"/>
      <c r="PFI18" s="24"/>
      <c r="PFK18" s="24"/>
      <c r="PFM18" s="24"/>
      <c r="PFO18" s="24"/>
      <c r="PFQ18" s="24"/>
      <c r="PFS18" s="24"/>
      <c r="PFU18" s="24"/>
      <c r="PFW18" s="24"/>
      <c r="PFY18" s="24"/>
      <c r="PGA18" s="24"/>
      <c r="PGC18" s="24"/>
      <c r="PGE18" s="24"/>
      <c r="PGG18" s="24"/>
      <c r="PGI18" s="24"/>
      <c r="PGK18" s="24"/>
      <c r="PGM18" s="24"/>
      <c r="PGO18" s="24"/>
      <c r="PGQ18" s="24"/>
      <c r="PGS18" s="24"/>
      <c r="PGU18" s="24"/>
      <c r="PGW18" s="24"/>
      <c r="PGY18" s="24"/>
      <c r="PHA18" s="24"/>
      <c r="PHC18" s="24"/>
      <c r="PHE18" s="24"/>
      <c r="PHG18" s="24"/>
      <c r="PHI18" s="24"/>
      <c r="PHK18" s="24"/>
      <c r="PHM18" s="24"/>
      <c r="PHO18" s="24"/>
      <c r="PHQ18" s="24"/>
      <c r="PHS18" s="24"/>
      <c r="PHU18" s="24"/>
      <c r="PHW18" s="24"/>
      <c r="PHY18" s="24"/>
      <c r="PIA18" s="24"/>
      <c r="PIC18" s="24"/>
      <c r="PIE18" s="24"/>
      <c r="PIG18" s="24"/>
      <c r="PII18" s="24"/>
      <c r="PIK18" s="24"/>
      <c r="PIM18" s="24"/>
      <c r="PIO18" s="24"/>
      <c r="PIQ18" s="24"/>
      <c r="PIS18" s="24"/>
      <c r="PIU18" s="24"/>
      <c r="PIW18" s="24"/>
      <c r="PIY18" s="24"/>
      <c r="PJA18" s="24"/>
      <c r="PJC18" s="24"/>
      <c r="PJE18" s="24"/>
      <c r="PJG18" s="24"/>
      <c r="PJI18" s="24"/>
      <c r="PJK18" s="24"/>
      <c r="PJM18" s="24"/>
      <c r="PJO18" s="24"/>
      <c r="PJQ18" s="24"/>
      <c r="PJS18" s="24"/>
      <c r="PJU18" s="24"/>
      <c r="PJW18" s="24"/>
      <c r="PJY18" s="24"/>
      <c r="PKA18" s="24"/>
      <c r="PKC18" s="24"/>
      <c r="PKE18" s="24"/>
      <c r="PKG18" s="24"/>
      <c r="PKI18" s="24"/>
      <c r="PKK18" s="24"/>
      <c r="PKM18" s="24"/>
      <c r="PKO18" s="24"/>
      <c r="PKQ18" s="24"/>
      <c r="PKS18" s="24"/>
      <c r="PKU18" s="24"/>
      <c r="PKW18" s="24"/>
      <c r="PKY18" s="24"/>
      <c r="PLA18" s="24"/>
      <c r="PLC18" s="24"/>
      <c r="PLE18" s="24"/>
      <c r="PLG18" s="24"/>
      <c r="PLI18" s="24"/>
      <c r="PLK18" s="24"/>
      <c r="PLM18" s="24"/>
      <c r="PLO18" s="24"/>
      <c r="PLQ18" s="24"/>
      <c r="PLS18" s="24"/>
      <c r="PLU18" s="24"/>
      <c r="PLW18" s="24"/>
      <c r="PLY18" s="24"/>
      <c r="PMA18" s="24"/>
      <c r="PMC18" s="24"/>
      <c r="PME18" s="24"/>
      <c r="PMG18" s="24"/>
      <c r="PMI18" s="24"/>
      <c r="PMK18" s="24"/>
      <c r="PMM18" s="24"/>
      <c r="PMO18" s="24"/>
      <c r="PMQ18" s="24"/>
      <c r="PMS18" s="24"/>
      <c r="PMU18" s="24"/>
      <c r="PMW18" s="24"/>
      <c r="PMY18" s="24"/>
      <c r="PNA18" s="24"/>
      <c r="PNC18" s="24"/>
      <c r="PNE18" s="24"/>
      <c r="PNG18" s="24"/>
      <c r="PNI18" s="24"/>
      <c r="PNK18" s="24"/>
      <c r="PNM18" s="24"/>
      <c r="PNO18" s="24"/>
      <c r="PNQ18" s="24"/>
      <c r="PNS18" s="24"/>
      <c r="PNU18" s="24"/>
      <c r="PNW18" s="24"/>
      <c r="PNY18" s="24"/>
      <c r="POA18" s="24"/>
      <c r="POC18" s="24"/>
      <c r="POE18" s="24"/>
      <c r="POG18" s="24"/>
      <c r="POI18" s="24"/>
      <c r="POK18" s="24"/>
      <c r="POM18" s="24"/>
      <c r="POO18" s="24"/>
      <c r="POQ18" s="24"/>
      <c r="POS18" s="24"/>
      <c r="POU18" s="24"/>
      <c r="POW18" s="24"/>
      <c r="POY18" s="24"/>
      <c r="PPA18" s="24"/>
      <c r="PPC18" s="24"/>
      <c r="PPE18" s="24"/>
      <c r="PPG18" s="24"/>
      <c r="PPI18" s="24"/>
      <c r="PPK18" s="24"/>
      <c r="PPM18" s="24"/>
      <c r="PPO18" s="24"/>
      <c r="PPQ18" s="24"/>
      <c r="PPS18" s="24"/>
      <c r="PPU18" s="24"/>
      <c r="PPW18" s="24"/>
      <c r="PPY18" s="24"/>
      <c r="PQA18" s="24"/>
      <c r="PQC18" s="24"/>
      <c r="PQE18" s="24"/>
      <c r="PQG18" s="24"/>
      <c r="PQI18" s="24"/>
      <c r="PQK18" s="24"/>
      <c r="PQM18" s="24"/>
      <c r="PQO18" s="24"/>
      <c r="PQQ18" s="24"/>
      <c r="PQS18" s="24"/>
      <c r="PQU18" s="24"/>
      <c r="PQW18" s="24"/>
      <c r="PQY18" s="24"/>
      <c r="PRA18" s="24"/>
      <c r="PRC18" s="24"/>
      <c r="PRE18" s="24"/>
      <c r="PRG18" s="24"/>
      <c r="PRI18" s="24"/>
      <c r="PRK18" s="24"/>
      <c r="PRM18" s="24"/>
      <c r="PRO18" s="24"/>
      <c r="PRQ18" s="24"/>
      <c r="PRS18" s="24"/>
      <c r="PRU18" s="24"/>
      <c r="PRW18" s="24"/>
      <c r="PRY18" s="24"/>
      <c r="PSA18" s="24"/>
      <c r="PSC18" s="24"/>
      <c r="PSE18" s="24"/>
      <c r="PSG18" s="24"/>
      <c r="PSI18" s="24"/>
      <c r="PSK18" s="24"/>
      <c r="PSM18" s="24"/>
      <c r="PSO18" s="24"/>
      <c r="PSQ18" s="24"/>
      <c r="PSS18" s="24"/>
      <c r="PSU18" s="24"/>
      <c r="PSW18" s="24"/>
      <c r="PSY18" s="24"/>
      <c r="PTA18" s="24"/>
      <c r="PTC18" s="24"/>
      <c r="PTE18" s="24"/>
      <c r="PTG18" s="24"/>
      <c r="PTI18" s="24"/>
      <c r="PTK18" s="24"/>
      <c r="PTM18" s="24"/>
      <c r="PTO18" s="24"/>
      <c r="PTQ18" s="24"/>
      <c r="PTS18" s="24"/>
      <c r="PTU18" s="24"/>
      <c r="PTW18" s="24"/>
      <c r="PTY18" s="24"/>
      <c r="PUA18" s="24"/>
      <c r="PUC18" s="24"/>
      <c r="PUE18" s="24"/>
      <c r="PUG18" s="24"/>
      <c r="PUI18" s="24"/>
      <c r="PUK18" s="24"/>
      <c r="PUM18" s="24"/>
      <c r="PUO18" s="24"/>
      <c r="PUQ18" s="24"/>
      <c r="PUS18" s="24"/>
      <c r="PUU18" s="24"/>
      <c r="PUW18" s="24"/>
      <c r="PUY18" s="24"/>
      <c r="PVA18" s="24"/>
      <c r="PVC18" s="24"/>
      <c r="PVE18" s="24"/>
      <c r="PVG18" s="24"/>
      <c r="PVI18" s="24"/>
      <c r="PVK18" s="24"/>
      <c r="PVM18" s="24"/>
      <c r="PVO18" s="24"/>
      <c r="PVQ18" s="24"/>
      <c r="PVS18" s="24"/>
      <c r="PVU18" s="24"/>
      <c r="PVW18" s="24"/>
      <c r="PVY18" s="24"/>
      <c r="PWA18" s="24"/>
      <c r="PWC18" s="24"/>
      <c r="PWE18" s="24"/>
      <c r="PWG18" s="24"/>
      <c r="PWI18" s="24"/>
      <c r="PWK18" s="24"/>
      <c r="PWM18" s="24"/>
      <c r="PWO18" s="24"/>
      <c r="PWQ18" s="24"/>
      <c r="PWS18" s="24"/>
      <c r="PWU18" s="24"/>
      <c r="PWW18" s="24"/>
      <c r="PWY18" s="24"/>
      <c r="PXA18" s="24"/>
      <c r="PXC18" s="24"/>
      <c r="PXE18" s="24"/>
      <c r="PXG18" s="24"/>
      <c r="PXI18" s="24"/>
      <c r="PXK18" s="24"/>
      <c r="PXM18" s="24"/>
      <c r="PXO18" s="24"/>
      <c r="PXQ18" s="24"/>
      <c r="PXS18" s="24"/>
      <c r="PXU18" s="24"/>
      <c r="PXW18" s="24"/>
      <c r="PXY18" s="24"/>
      <c r="PYA18" s="24"/>
      <c r="PYC18" s="24"/>
      <c r="PYE18" s="24"/>
      <c r="PYG18" s="24"/>
      <c r="PYI18" s="24"/>
      <c r="PYK18" s="24"/>
      <c r="PYM18" s="24"/>
      <c r="PYO18" s="24"/>
      <c r="PYQ18" s="24"/>
      <c r="PYS18" s="24"/>
      <c r="PYU18" s="24"/>
      <c r="PYW18" s="24"/>
      <c r="PYY18" s="24"/>
      <c r="PZA18" s="24"/>
      <c r="PZC18" s="24"/>
      <c r="PZE18" s="24"/>
      <c r="PZG18" s="24"/>
      <c r="PZI18" s="24"/>
      <c r="PZK18" s="24"/>
      <c r="PZM18" s="24"/>
      <c r="PZO18" s="24"/>
      <c r="PZQ18" s="24"/>
      <c r="PZS18" s="24"/>
      <c r="PZU18" s="24"/>
      <c r="PZW18" s="24"/>
      <c r="PZY18" s="24"/>
      <c r="QAA18" s="24"/>
      <c r="QAC18" s="24"/>
      <c r="QAE18" s="24"/>
      <c r="QAG18" s="24"/>
      <c r="QAI18" s="24"/>
      <c r="QAK18" s="24"/>
      <c r="QAM18" s="24"/>
      <c r="QAO18" s="24"/>
      <c r="QAQ18" s="24"/>
      <c r="QAS18" s="24"/>
      <c r="QAU18" s="24"/>
      <c r="QAW18" s="24"/>
      <c r="QAY18" s="24"/>
      <c r="QBA18" s="24"/>
      <c r="QBC18" s="24"/>
      <c r="QBE18" s="24"/>
      <c r="QBG18" s="24"/>
      <c r="QBI18" s="24"/>
      <c r="QBK18" s="24"/>
      <c r="QBM18" s="24"/>
      <c r="QBO18" s="24"/>
      <c r="QBQ18" s="24"/>
      <c r="QBS18" s="24"/>
      <c r="QBU18" s="24"/>
      <c r="QBW18" s="24"/>
      <c r="QBY18" s="24"/>
      <c r="QCA18" s="24"/>
      <c r="QCC18" s="24"/>
      <c r="QCE18" s="24"/>
      <c r="QCG18" s="24"/>
      <c r="QCI18" s="24"/>
      <c r="QCK18" s="24"/>
      <c r="QCM18" s="24"/>
      <c r="QCO18" s="24"/>
      <c r="QCQ18" s="24"/>
      <c r="QCS18" s="24"/>
      <c r="QCU18" s="24"/>
      <c r="QCW18" s="24"/>
      <c r="QCY18" s="24"/>
      <c r="QDA18" s="24"/>
      <c r="QDC18" s="24"/>
      <c r="QDE18" s="24"/>
      <c r="QDG18" s="24"/>
      <c r="QDI18" s="24"/>
      <c r="QDK18" s="24"/>
      <c r="QDM18" s="24"/>
      <c r="QDO18" s="24"/>
      <c r="QDQ18" s="24"/>
      <c r="QDS18" s="24"/>
      <c r="QDU18" s="24"/>
      <c r="QDW18" s="24"/>
      <c r="QDY18" s="24"/>
      <c r="QEA18" s="24"/>
      <c r="QEC18" s="24"/>
      <c r="QEE18" s="24"/>
      <c r="QEG18" s="24"/>
      <c r="QEI18" s="24"/>
      <c r="QEK18" s="24"/>
      <c r="QEM18" s="24"/>
      <c r="QEO18" s="24"/>
      <c r="QEQ18" s="24"/>
      <c r="QES18" s="24"/>
      <c r="QEU18" s="24"/>
      <c r="QEW18" s="24"/>
      <c r="QEY18" s="24"/>
      <c r="QFA18" s="24"/>
      <c r="QFC18" s="24"/>
      <c r="QFE18" s="24"/>
      <c r="QFG18" s="24"/>
      <c r="QFI18" s="24"/>
      <c r="QFK18" s="24"/>
      <c r="QFM18" s="24"/>
      <c r="QFO18" s="24"/>
      <c r="QFQ18" s="24"/>
      <c r="QFS18" s="24"/>
      <c r="QFU18" s="24"/>
      <c r="QFW18" s="24"/>
      <c r="QFY18" s="24"/>
      <c r="QGA18" s="24"/>
      <c r="QGC18" s="24"/>
      <c r="QGE18" s="24"/>
      <c r="QGG18" s="24"/>
      <c r="QGI18" s="24"/>
      <c r="QGK18" s="24"/>
      <c r="QGM18" s="24"/>
      <c r="QGO18" s="24"/>
      <c r="QGQ18" s="24"/>
      <c r="QGS18" s="24"/>
      <c r="QGU18" s="24"/>
      <c r="QGW18" s="24"/>
      <c r="QGY18" s="24"/>
      <c r="QHA18" s="24"/>
      <c r="QHC18" s="24"/>
      <c r="QHE18" s="24"/>
      <c r="QHG18" s="24"/>
      <c r="QHI18" s="24"/>
      <c r="QHK18" s="24"/>
      <c r="QHM18" s="24"/>
      <c r="QHO18" s="24"/>
      <c r="QHQ18" s="24"/>
      <c r="QHS18" s="24"/>
      <c r="QHU18" s="24"/>
      <c r="QHW18" s="24"/>
      <c r="QHY18" s="24"/>
      <c r="QIA18" s="24"/>
      <c r="QIC18" s="24"/>
      <c r="QIE18" s="24"/>
      <c r="QIG18" s="24"/>
      <c r="QII18" s="24"/>
      <c r="QIK18" s="24"/>
      <c r="QIM18" s="24"/>
      <c r="QIO18" s="24"/>
      <c r="QIQ18" s="24"/>
      <c r="QIS18" s="24"/>
      <c r="QIU18" s="24"/>
      <c r="QIW18" s="24"/>
      <c r="QIY18" s="24"/>
      <c r="QJA18" s="24"/>
      <c r="QJC18" s="24"/>
      <c r="QJE18" s="24"/>
      <c r="QJG18" s="24"/>
      <c r="QJI18" s="24"/>
      <c r="QJK18" s="24"/>
      <c r="QJM18" s="24"/>
      <c r="QJO18" s="24"/>
      <c r="QJQ18" s="24"/>
      <c r="QJS18" s="24"/>
      <c r="QJU18" s="24"/>
      <c r="QJW18" s="24"/>
      <c r="QJY18" s="24"/>
      <c r="QKA18" s="24"/>
      <c r="QKC18" s="24"/>
      <c r="QKE18" s="24"/>
      <c r="QKG18" s="24"/>
      <c r="QKI18" s="24"/>
      <c r="QKK18" s="24"/>
      <c r="QKM18" s="24"/>
      <c r="QKO18" s="24"/>
      <c r="QKQ18" s="24"/>
      <c r="QKS18" s="24"/>
      <c r="QKU18" s="24"/>
      <c r="QKW18" s="24"/>
      <c r="QKY18" s="24"/>
      <c r="QLA18" s="24"/>
      <c r="QLC18" s="24"/>
      <c r="QLE18" s="24"/>
      <c r="QLG18" s="24"/>
      <c r="QLI18" s="24"/>
      <c r="QLK18" s="24"/>
      <c r="QLM18" s="24"/>
      <c r="QLO18" s="24"/>
      <c r="QLQ18" s="24"/>
      <c r="QLS18" s="24"/>
      <c r="QLU18" s="24"/>
      <c r="QLW18" s="24"/>
      <c r="QLY18" s="24"/>
      <c r="QMA18" s="24"/>
      <c r="QMC18" s="24"/>
      <c r="QME18" s="24"/>
      <c r="QMG18" s="24"/>
      <c r="QMI18" s="24"/>
      <c r="QMK18" s="24"/>
      <c r="QMM18" s="24"/>
      <c r="QMO18" s="24"/>
      <c r="QMQ18" s="24"/>
      <c r="QMS18" s="24"/>
      <c r="QMU18" s="24"/>
      <c r="QMW18" s="24"/>
      <c r="QMY18" s="24"/>
      <c r="QNA18" s="24"/>
      <c r="QNC18" s="24"/>
      <c r="QNE18" s="24"/>
      <c r="QNG18" s="24"/>
      <c r="QNI18" s="24"/>
      <c r="QNK18" s="24"/>
      <c r="QNM18" s="24"/>
      <c r="QNO18" s="24"/>
      <c r="QNQ18" s="24"/>
      <c r="QNS18" s="24"/>
      <c r="QNU18" s="24"/>
      <c r="QNW18" s="24"/>
      <c r="QNY18" s="24"/>
      <c r="QOA18" s="24"/>
      <c r="QOC18" s="24"/>
      <c r="QOE18" s="24"/>
      <c r="QOG18" s="24"/>
      <c r="QOI18" s="24"/>
      <c r="QOK18" s="24"/>
      <c r="QOM18" s="24"/>
      <c r="QOO18" s="24"/>
      <c r="QOQ18" s="24"/>
      <c r="QOS18" s="24"/>
      <c r="QOU18" s="24"/>
      <c r="QOW18" s="24"/>
      <c r="QOY18" s="24"/>
      <c r="QPA18" s="24"/>
      <c r="QPC18" s="24"/>
      <c r="QPE18" s="24"/>
      <c r="QPG18" s="24"/>
      <c r="QPI18" s="24"/>
      <c r="QPK18" s="24"/>
      <c r="QPM18" s="24"/>
      <c r="QPO18" s="24"/>
      <c r="QPQ18" s="24"/>
      <c r="QPS18" s="24"/>
      <c r="QPU18" s="24"/>
      <c r="QPW18" s="24"/>
      <c r="QPY18" s="24"/>
      <c r="QQA18" s="24"/>
      <c r="QQC18" s="24"/>
      <c r="QQE18" s="24"/>
      <c r="QQG18" s="24"/>
      <c r="QQI18" s="24"/>
      <c r="QQK18" s="24"/>
      <c r="QQM18" s="24"/>
      <c r="QQO18" s="24"/>
      <c r="QQQ18" s="24"/>
      <c r="QQS18" s="24"/>
      <c r="QQU18" s="24"/>
      <c r="QQW18" s="24"/>
      <c r="QQY18" s="24"/>
      <c r="QRA18" s="24"/>
      <c r="QRC18" s="24"/>
      <c r="QRE18" s="24"/>
      <c r="QRG18" s="24"/>
      <c r="QRI18" s="24"/>
      <c r="QRK18" s="24"/>
      <c r="QRM18" s="24"/>
      <c r="QRO18" s="24"/>
      <c r="QRQ18" s="24"/>
      <c r="QRS18" s="24"/>
      <c r="QRU18" s="24"/>
      <c r="QRW18" s="24"/>
      <c r="QRY18" s="24"/>
      <c r="QSA18" s="24"/>
      <c r="QSC18" s="24"/>
      <c r="QSE18" s="24"/>
      <c r="QSG18" s="24"/>
      <c r="QSI18" s="24"/>
      <c r="QSK18" s="24"/>
      <c r="QSM18" s="24"/>
      <c r="QSO18" s="24"/>
      <c r="QSQ18" s="24"/>
      <c r="QSS18" s="24"/>
      <c r="QSU18" s="24"/>
      <c r="QSW18" s="24"/>
      <c r="QSY18" s="24"/>
      <c r="QTA18" s="24"/>
      <c r="QTC18" s="24"/>
      <c r="QTE18" s="24"/>
      <c r="QTG18" s="24"/>
      <c r="QTI18" s="24"/>
      <c r="QTK18" s="24"/>
      <c r="QTM18" s="24"/>
      <c r="QTO18" s="24"/>
      <c r="QTQ18" s="24"/>
      <c r="QTS18" s="24"/>
      <c r="QTU18" s="24"/>
      <c r="QTW18" s="24"/>
      <c r="QTY18" s="24"/>
      <c r="QUA18" s="24"/>
      <c r="QUC18" s="24"/>
      <c r="QUE18" s="24"/>
      <c r="QUG18" s="24"/>
      <c r="QUI18" s="24"/>
      <c r="QUK18" s="24"/>
      <c r="QUM18" s="24"/>
      <c r="QUO18" s="24"/>
      <c r="QUQ18" s="24"/>
      <c r="QUS18" s="24"/>
      <c r="QUU18" s="24"/>
      <c r="QUW18" s="24"/>
      <c r="QUY18" s="24"/>
      <c r="QVA18" s="24"/>
      <c r="QVC18" s="24"/>
      <c r="QVE18" s="24"/>
      <c r="QVG18" s="24"/>
      <c r="QVI18" s="24"/>
      <c r="QVK18" s="24"/>
      <c r="QVM18" s="24"/>
      <c r="QVO18" s="24"/>
      <c r="QVQ18" s="24"/>
      <c r="QVS18" s="24"/>
      <c r="QVU18" s="24"/>
      <c r="QVW18" s="24"/>
      <c r="QVY18" s="24"/>
      <c r="QWA18" s="24"/>
      <c r="QWC18" s="24"/>
      <c r="QWE18" s="24"/>
      <c r="QWG18" s="24"/>
      <c r="QWI18" s="24"/>
      <c r="QWK18" s="24"/>
      <c r="QWM18" s="24"/>
      <c r="QWO18" s="24"/>
      <c r="QWQ18" s="24"/>
      <c r="QWS18" s="24"/>
      <c r="QWU18" s="24"/>
      <c r="QWW18" s="24"/>
      <c r="QWY18" s="24"/>
      <c r="QXA18" s="24"/>
      <c r="QXC18" s="24"/>
      <c r="QXE18" s="24"/>
      <c r="QXG18" s="24"/>
      <c r="QXI18" s="24"/>
      <c r="QXK18" s="24"/>
      <c r="QXM18" s="24"/>
      <c r="QXO18" s="24"/>
      <c r="QXQ18" s="24"/>
      <c r="QXS18" s="24"/>
      <c r="QXU18" s="24"/>
      <c r="QXW18" s="24"/>
      <c r="QXY18" s="24"/>
      <c r="QYA18" s="24"/>
      <c r="QYC18" s="24"/>
      <c r="QYE18" s="24"/>
      <c r="QYG18" s="24"/>
      <c r="QYI18" s="24"/>
      <c r="QYK18" s="24"/>
      <c r="QYM18" s="24"/>
      <c r="QYO18" s="24"/>
      <c r="QYQ18" s="24"/>
      <c r="QYS18" s="24"/>
      <c r="QYU18" s="24"/>
      <c r="QYW18" s="24"/>
      <c r="QYY18" s="24"/>
      <c r="QZA18" s="24"/>
      <c r="QZC18" s="24"/>
      <c r="QZE18" s="24"/>
      <c r="QZG18" s="24"/>
      <c r="QZI18" s="24"/>
      <c r="QZK18" s="24"/>
      <c r="QZM18" s="24"/>
      <c r="QZO18" s="24"/>
      <c r="QZQ18" s="24"/>
      <c r="QZS18" s="24"/>
      <c r="QZU18" s="24"/>
      <c r="QZW18" s="24"/>
      <c r="QZY18" s="24"/>
      <c r="RAA18" s="24"/>
      <c r="RAC18" s="24"/>
      <c r="RAE18" s="24"/>
      <c r="RAG18" s="24"/>
      <c r="RAI18" s="24"/>
      <c r="RAK18" s="24"/>
      <c r="RAM18" s="24"/>
      <c r="RAO18" s="24"/>
      <c r="RAQ18" s="24"/>
      <c r="RAS18" s="24"/>
      <c r="RAU18" s="24"/>
      <c r="RAW18" s="24"/>
      <c r="RAY18" s="24"/>
      <c r="RBA18" s="24"/>
      <c r="RBC18" s="24"/>
      <c r="RBE18" s="24"/>
      <c r="RBG18" s="24"/>
      <c r="RBI18" s="24"/>
      <c r="RBK18" s="24"/>
      <c r="RBM18" s="24"/>
      <c r="RBO18" s="24"/>
      <c r="RBQ18" s="24"/>
      <c r="RBS18" s="24"/>
      <c r="RBU18" s="24"/>
      <c r="RBW18" s="24"/>
      <c r="RBY18" s="24"/>
      <c r="RCA18" s="24"/>
      <c r="RCC18" s="24"/>
      <c r="RCE18" s="24"/>
      <c r="RCG18" s="24"/>
      <c r="RCI18" s="24"/>
      <c r="RCK18" s="24"/>
      <c r="RCM18" s="24"/>
      <c r="RCO18" s="24"/>
      <c r="RCQ18" s="24"/>
      <c r="RCS18" s="24"/>
      <c r="RCU18" s="24"/>
      <c r="RCW18" s="24"/>
      <c r="RCY18" s="24"/>
      <c r="RDA18" s="24"/>
      <c r="RDC18" s="24"/>
      <c r="RDE18" s="24"/>
      <c r="RDG18" s="24"/>
      <c r="RDI18" s="24"/>
      <c r="RDK18" s="24"/>
      <c r="RDM18" s="24"/>
      <c r="RDO18" s="24"/>
      <c r="RDQ18" s="24"/>
      <c r="RDS18" s="24"/>
      <c r="RDU18" s="24"/>
      <c r="RDW18" s="24"/>
      <c r="RDY18" s="24"/>
      <c r="REA18" s="24"/>
      <c r="REC18" s="24"/>
      <c r="REE18" s="24"/>
      <c r="REG18" s="24"/>
      <c r="REI18" s="24"/>
      <c r="REK18" s="24"/>
      <c r="REM18" s="24"/>
      <c r="REO18" s="24"/>
      <c r="REQ18" s="24"/>
      <c r="RES18" s="24"/>
      <c r="REU18" s="24"/>
      <c r="REW18" s="24"/>
      <c r="REY18" s="24"/>
      <c r="RFA18" s="24"/>
      <c r="RFC18" s="24"/>
      <c r="RFE18" s="24"/>
      <c r="RFG18" s="24"/>
      <c r="RFI18" s="24"/>
      <c r="RFK18" s="24"/>
      <c r="RFM18" s="24"/>
      <c r="RFO18" s="24"/>
      <c r="RFQ18" s="24"/>
      <c r="RFS18" s="24"/>
      <c r="RFU18" s="24"/>
      <c r="RFW18" s="24"/>
      <c r="RFY18" s="24"/>
      <c r="RGA18" s="24"/>
      <c r="RGC18" s="24"/>
      <c r="RGE18" s="24"/>
      <c r="RGG18" s="24"/>
      <c r="RGI18" s="24"/>
      <c r="RGK18" s="24"/>
      <c r="RGM18" s="24"/>
      <c r="RGO18" s="24"/>
      <c r="RGQ18" s="24"/>
      <c r="RGS18" s="24"/>
      <c r="RGU18" s="24"/>
      <c r="RGW18" s="24"/>
      <c r="RGY18" s="24"/>
      <c r="RHA18" s="24"/>
      <c r="RHC18" s="24"/>
      <c r="RHE18" s="24"/>
      <c r="RHG18" s="24"/>
      <c r="RHI18" s="24"/>
      <c r="RHK18" s="24"/>
      <c r="RHM18" s="24"/>
      <c r="RHO18" s="24"/>
      <c r="RHQ18" s="24"/>
      <c r="RHS18" s="24"/>
      <c r="RHU18" s="24"/>
      <c r="RHW18" s="24"/>
      <c r="RHY18" s="24"/>
      <c r="RIA18" s="24"/>
      <c r="RIC18" s="24"/>
      <c r="RIE18" s="24"/>
      <c r="RIG18" s="24"/>
      <c r="RII18" s="24"/>
      <c r="RIK18" s="24"/>
      <c r="RIM18" s="24"/>
      <c r="RIO18" s="24"/>
      <c r="RIQ18" s="24"/>
      <c r="RIS18" s="24"/>
      <c r="RIU18" s="24"/>
      <c r="RIW18" s="24"/>
      <c r="RIY18" s="24"/>
      <c r="RJA18" s="24"/>
      <c r="RJC18" s="24"/>
      <c r="RJE18" s="24"/>
      <c r="RJG18" s="24"/>
      <c r="RJI18" s="24"/>
      <c r="RJK18" s="24"/>
      <c r="RJM18" s="24"/>
      <c r="RJO18" s="24"/>
      <c r="RJQ18" s="24"/>
      <c r="RJS18" s="24"/>
      <c r="RJU18" s="24"/>
      <c r="RJW18" s="24"/>
      <c r="RJY18" s="24"/>
      <c r="RKA18" s="24"/>
      <c r="RKC18" s="24"/>
      <c r="RKE18" s="24"/>
      <c r="RKG18" s="24"/>
      <c r="RKI18" s="24"/>
      <c r="RKK18" s="24"/>
      <c r="RKM18" s="24"/>
      <c r="RKO18" s="24"/>
      <c r="RKQ18" s="24"/>
      <c r="RKS18" s="24"/>
      <c r="RKU18" s="24"/>
      <c r="RKW18" s="24"/>
      <c r="RKY18" s="24"/>
      <c r="RLA18" s="24"/>
      <c r="RLC18" s="24"/>
      <c r="RLE18" s="24"/>
      <c r="RLG18" s="24"/>
      <c r="RLI18" s="24"/>
      <c r="RLK18" s="24"/>
      <c r="RLM18" s="24"/>
      <c r="RLO18" s="24"/>
      <c r="RLQ18" s="24"/>
      <c r="RLS18" s="24"/>
      <c r="RLU18" s="24"/>
      <c r="RLW18" s="24"/>
      <c r="RLY18" s="24"/>
      <c r="RMA18" s="24"/>
      <c r="RMC18" s="24"/>
      <c r="RME18" s="24"/>
      <c r="RMG18" s="24"/>
      <c r="RMI18" s="24"/>
      <c r="RMK18" s="24"/>
      <c r="RMM18" s="24"/>
      <c r="RMO18" s="24"/>
      <c r="RMQ18" s="24"/>
      <c r="RMS18" s="24"/>
      <c r="RMU18" s="24"/>
      <c r="RMW18" s="24"/>
      <c r="RMY18" s="24"/>
      <c r="RNA18" s="24"/>
      <c r="RNC18" s="24"/>
      <c r="RNE18" s="24"/>
      <c r="RNG18" s="24"/>
      <c r="RNI18" s="24"/>
      <c r="RNK18" s="24"/>
      <c r="RNM18" s="24"/>
      <c r="RNO18" s="24"/>
      <c r="RNQ18" s="24"/>
      <c r="RNS18" s="24"/>
      <c r="RNU18" s="24"/>
      <c r="RNW18" s="24"/>
      <c r="RNY18" s="24"/>
      <c r="ROA18" s="24"/>
      <c r="ROC18" s="24"/>
      <c r="ROE18" s="24"/>
      <c r="ROG18" s="24"/>
      <c r="ROI18" s="24"/>
      <c r="ROK18" s="24"/>
      <c r="ROM18" s="24"/>
      <c r="ROO18" s="24"/>
      <c r="ROQ18" s="24"/>
      <c r="ROS18" s="24"/>
      <c r="ROU18" s="24"/>
      <c r="ROW18" s="24"/>
      <c r="ROY18" s="24"/>
      <c r="RPA18" s="24"/>
      <c r="RPC18" s="24"/>
      <c r="RPE18" s="24"/>
      <c r="RPG18" s="24"/>
      <c r="RPI18" s="24"/>
      <c r="RPK18" s="24"/>
      <c r="RPM18" s="24"/>
      <c r="RPO18" s="24"/>
      <c r="RPQ18" s="24"/>
      <c r="RPS18" s="24"/>
      <c r="RPU18" s="24"/>
      <c r="RPW18" s="24"/>
      <c r="RPY18" s="24"/>
      <c r="RQA18" s="24"/>
      <c r="RQC18" s="24"/>
      <c r="RQE18" s="24"/>
      <c r="RQG18" s="24"/>
      <c r="RQI18" s="24"/>
      <c r="RQK18" s="24"/>
      <c r="RQM18" s="24"/>
      <c r="RQO18" s="24"/>
      <c r="RQQ18" s="24"/>
      <c r="RQS18" s="24"/>
      <c r="RQU18" s="24"/>
      <c r="RQW18" s="24"/>
      <c r="RQY18" s="24"/>
      <c r="RRA18" s="24"/>
      <c r="RRC18" s="24"/>
      <c r="RRE18" s="24"/>
      <c r="RRG18" s="24"/>
      <c r="RRI18" s="24"/>
      <c r="RRK18" s="24"/>
      <c r="RRM18" s="24"/>
      <c r="RRO18" s="24"/>
      <c r="RRQ18" s="24"/>
      <c r="RRS18" s="24"/>
      <c r="RRU18" s="24"/>
      <c r="RRW18" s="24"/>
      <c r="RRY18" s="24"/>
      <c r="RSA18" s="24"/>
      <c r="RSC18" s="24"/>
      <c r="RSE18" s="24"/>
      <c r="RSG18" s="24"/>
      <c r="RSI18" s="24"/>
      <c r="RSK18" s="24"/>
      <c r="RSM18" s="24"/>
      <c r="RSO18" s="24"/>
      <c r="RSQ18" s="24"/>
      <c r="RSS18" s="24"/>
      <c r="RSU18" s="24"/>
      <c r="RSW18" s="24"/>
      <c r="RSY18" s="24"/>
      <c r="RTA18" s="24"/>
      <c r="RTC18" s="24"/>
      <c r="RTE18" s="24"/>
      <c r="RTG18" s="24"/>
      <c r="RTI18" s="24"/>
      <c r="RTK18" s="24"/>
      <c r="RTM18" s="24"/>
      <c r="RTO18" s="24"/>
      <c r="RTQ18" s="24"/>
      <c r="RTS18" s="24"/>
      <c r="RTU18" s="24"/>
      <c r="RTW18" s="24"/>
      <c r="RTY18" s="24"/>
      <c r="RUA18" s="24"/>
      <c r="RUC18" s="24"/>
      <c r="RUE18" s="24"/>
      <c r="RUG18" s="24"/>
      <c r="RUI18" s="24"/>
      <c r="RUK18" s="24"/>
      <c r="RUM18" s="24"/>
      <c r="RUO18" s="24"/>
      <c r="RUQ18" s="24"/>
      <c r="RUS18" s="24"/>
      <c r="RUU18" s="24"/>
      <c r="RUW18" s="24"/>
      <c r="RUY18" s="24"/>
      <c r="RVA18" s="24"/>
      <c r="RVC18" s="24"/>
      <c r="RVE18" s="24"/>
      <c r="RVG18" s="24"/>
      <c r="RVI18" s="24"/>
      <c r="RVK18" s="24"/>
      <c r="RVM18" s="24"/>
      <c r="RVO18" s="24"/>
      <c r="RVQ18" s="24"/>
      <c r="RVS18" s="24"/>
      <c r="RVU18" s="24"/>
      <c r="RVW18" s="24"/>
      <c r="RVY18" s="24"/>
      <c r="RWA18" s="24"/>
      <c r="RWC18" s="24"/>
      <c r="RWE18" s="24"/>
      <c r="RWG18" s="24"/>
      <c r="RWI18" s="24"/>
      <c r="RWK18" s="24"/>
      <c r="RWM18" s="24"/>
      <c r="RWO18" s="24"/>
      <c r="RWQ18" s="24"/>
      <c r="RWS18" s="24"/>
      <c r="RWU18" s="24"/>
      <c r="RWW18" s="24"/>
      <c r="RWY18" s="24"/>
      <c r="RXA18" s="24"/>
      <c r="RXC18" s="24"/>
      <c r="RXE18" s="24"/>
      <c r="RXG18" s="24"/>
      <c r="RXI18" s="24"/>
      <c r="RXK18" s="24"/>
      <c r="RXM18" s="24"/>
      <c r="RXO18" s="24"/>
      <c r="RXQ18" s="24"/>
      <c r="RXS18" s="24"/>
      <c r="RXU18" s="24"/>
      <c r="RXW18" s="24"/>
      <c r="RXY18" s="24"/>
      <c r="RYA18" s="24"/>
      <c r="RYC18" s="24"/>
      <c r="RYE18" s="24"/>
      <c r="RYG18" s="24"/>
      <c r="RYI18" s="24"/>
      <c r="RYK18" s="24"/>
      <c r="RYM18" s="24"/>
      <c r="RYO18" s="24"/>
      <c r="RYQ18" s="24"/>
      <c r="RYS18" s="24"/>
      <c r="RYU18" s="24"/>
      <c r="RYW18" s="24"/>
      <c r="RYY18" s="24"/>
      <c r="RZA18" s="24"/>
      <c r="RZC18" s="24"/>
      <c r="RZE18" s="24"/>
      <c r="RZG18" s="24"/>
      <c r="RZI18" s="24"/>
      <c r="RZK18" s="24"/>
      <c r="RZM18" s="24"/>
      <c r="RZO18" s="24"/>
      <c r="RZQ18" s="24"/>
      <c r="RZS18" s="24"/>
      <c r="RZU18" s="24"/>
      <c r="RZW18" s="24"/>
      <c r="RZY18" s="24"/>
      <c r="SAA18" s="24"/>
      <c r="SAC18" s="24"/>
      <c r="SAE18" s="24"/>
      <c r="SAG18" s="24"/>
      <c r="SAI18" s="24"/>
      <c r="SAK18" s="24"/>
      <c r="SAM18" s="24"/>
      <c r="SAO18" s="24"/>
      <c r="SAQ18" s="24"/>
      <c r="SAS18" s="24"/>
      <c r="SAU18" s="24"/>
      <c r="SAW18" s="24"/>
      <c r="SAY18" s="24"/>
      <c r="SBA18" s="24"/>
      <c r="SBC18" s="24"/>
      <c r="SBE18" s="24"/>
      <c r="SBG18" s="24"/>
      <c r="SBI18" s="24"/>
      <c r="SBK18" s="24"/>
      <c r="SBM18" s="24"/>
      <c r="SBO18" s="24"/>
      <c r="SBQ18" s="24"/>
      <c r="SBS18" s="24"/>
      <c r="SBU18" s="24"/>
      <c r="SBW18" s="24"/>
      <c r="SBY18" s="24"/>
      <c r="SCA18" s="24"/>
      <c r="SCC18" s="24"/>
      <c r="SCE18" s="24"/>
      <c r="SCG18" s="24"/>
      <c r="SCI18" s="24"/>
      <c r="SCK18" s="24"/>
      <c r="SCM18" s="24"/>
      <c r="SCO18" s="24"/>
      <c r="SCQ18" s="24"/>
      <c r="SCS18" s="24"/>
      <c r="SCU18" s="24"/>
      <c r="SCW18" s="24"/>
      <c r="SCY18" s="24"/>
      <c r="SDA18" s="24"/>
      <c r="SDC18" s="24"/>
      <c r="SDE18" s="24"/>
      <c r="SDG18" s="24"/>
      <c r="SDI18" s="24"/>
      <c r="SDK18" s="24"/>
      <c r="SDM18" s="24"/>
      <c r="SDO18" s="24"/>
      <c r="SDQ18" s="24"/>
      <c r="SDS18" s="24"/>
      <c r="SDU18" s="24"/>
      <c r="SDW18" s="24"/>
      <c r="SDY18" s="24"/>
      <c r="SEA18" s="24"/>
      <c r="SEC18" s="24"/>
      <c r="SEE18" s="24"/>
      <c r="SEG18" s="24"/>
      <c r="SEI18" s="24"/>
      <c r="SEK18" s="24"/>
      <c r="SEM18" s="24"/>
      <c r="SEO18" s="24"/>
      <c r="SEQ18" s="24"/>
      <c r="SES18" s="24"/>
      <c r="SEU18" s="24"/>
      <c r="SEW18" s="24"/>
      <c r="SEY18" s="24"/>
      <c r="SFA18" s="24"/>
      <c r="SFC18" s="24"/>
      <c r="SFE18" s="24"/>
      <c r="SFG18" s="24"/>
      <c r="SFI18" s="24"/>
      <c r="SFK18" s="24"/>
      <c r="SFM18" s="24"/>
      <c r="SFO18" s="24"/>
      <c r="SFQ18" s="24"/>
      <c r="SFS18" s="24"/>
      <c r="SFU18" s="24"/>
      <c r="SFW18" s="24"/>
      <c r="SFY18" s="24"/>
      <c r="SGA18" s="24"/>
      <c r="SGC18" s="24"/>
      <c r="SGE18" s="24"/>
      <c r="SGG18" s="24"/>
      <c r="SGI18" s="24"/>
      <c r="SGK18" s="24"/>
      <c r="SGM18" s="24"/>
      <c r="SGO18" s="24"/>
      <c r="SGQ18" s="24"/>
      <c r="SGS18" s="24"/>
      <c r="SGU18" s="24"/>
      <c r="SGW18" s="24"/>
      <c r="SGY18" s="24"/>
      <c r="SHA18" s="24"/>
      <c r="SHC18" s="24"/>
      <c r="SHE18" s="24"/>
      <c r="SHG18" s="24"/>
      <c r="SHI18" s="24"/>
      <c r="SHK18" s="24"/>
      <c r="SHM18" s="24"/>
      <c r="SHO18" s="24"/>
      <c r="SHQ18" s="24"/>
      <c r="SHS18" s="24"/>
      <c r="SHU18" s="24"/>
      <c r="SHW18" s="24"/>
      <c r="SHY18" s="24"/>
      <c r="SIA18" s="24"/>
      <c r="SIC18" s="24"/>
      <c r="SIE18" s="24"/>
      <c r="SIG18" s="24"/>
      <c r="SII18" s="24"/>
      <c r="SIK18" s="24"/>
      <c r="SIM18" s="24"/>
      <c r="SIO18" s="24"/>
      <c r="SIQ18" s="24"/>
      <c r="SIS18" s="24"/>
      <c r="SIU18" s="24"/>
      <c r="SIW18" s="24"/>
      <c r="SIY18" s="24"/>
      <c r="SJA18" s="24"/>
      <c r="SJC18" s="24"/>
      <c r="SJE18" s="24"/>
      <c r="SJG18" s="24"/>
      <c r="SJI18" s="24"/>
      <c r="SJK18" s="24"/>
      <c r="SJM18" s="24"/>
      <c r="SJO18" s="24"/>
      <c r="SJQ18" s="24"/>
      <c r="SJS18" s="24"/>
      <c r="SJU18" s="24"/>
      <c r="SJW18" s="24"/>
      <c r="SJY18" s="24"/>
      <c r="SKA18" s="24"/>
      <c r="SKC18" s="24"/>
      <c r="SKE18" s="24"/>
      <c r="SKG18" s="24"/>
      <c r="SKI18" s="24"/>
      <c r="SKK18" s="24"/>
      <c r="SKM18" s="24"/>
      <c r="SKO18" s="24"/>
      <c r="SKQ18" s="24"/>
      <c r="SKS18" s="24"/>
      <c r="SKU18" s="24"/>
      <c r="SKW18" s="24"/>
      <c r="SKY18" s="24"/>
      <c r="SLA18" s="24"/>
      <c r="SLC18" s="24"/>
      <c r="SLE18" s="24"/>
      <c r="SLG18" s="24"/>
      <c r="SLI18" s="24"/>
      <c r="SLK18" s="24"/>
      <c r="SLM18" s="24"/>
      <c r="SLO18" s="24"/>
      <c r="SLQ18" s="24"/>
      <c r="SLS18" s="24"/>
      <c r="SLU18" s="24"/>
      <c r="SLW18" s="24"/>
      <c r="SLY18" s="24"/>
      <c r="SMA18" s="24"/>
      <c r="SMC18" s="24"/>
      <c r="SME18" s="24"/>
      <c r="SMG18" s="24"/>
      <c r="SMI18" s="24"/>
      <c r="SMK18" s="24"/>
      <c r="SMM18" s="24"/>
      <c r="SMO18" s="24"/>
      <c r="SMQ18" s="24"/>
      <c r="SMS18" s="24"/>
      <c r="SMU18" s="24"/>
      <c r="SMW18" s="24"/>
      <c r="SMY18" s="24"/>
      <c r="SNA18" s="24"/>
      <c r="SNC18" s="24"/>
      <c r="SNE18" s="24"/>
      <c r="SNG18" s="24"/>
      <c r="SNI18" s="24"/>
      <c r="SNK18" s="24"/>
      <c r="SNM18" s="24"/>
      <c r="SNO18" s="24"/>
      <c r="SNQ18" s="24"/>
      <c r="SNS18" s="24"/>
      <c r="SNU18" s="24"/>
      <c r="SNW18" s="24"/>
      <c r="SNY18" s="24"/>
      <c r="SOA18" s="24"/>
      <c r="SOC18" s="24"/>
      <c r="SOE18" s="24"/>
      <c r="SOG18" s="24"/>
      <c r="SOI18" s="24"/>
      <c r="SOK18" s="24"/>
      <c r="SOM18" s="24"/>
      <c r="SOO18" s="24"/>
      <c r="SOQ18" s="24"/>
      <c r="SOS18" s="24"/>
      <c r="SOU18" s="24"/>
      <c r="SOW18" s="24"/>
      <c r="SOY18" s="24"/>
      <c r="SPA18" s="24"/>
      <c r="SPC18" s="24"/>
      <c r="SPE18" s="24"/>
      <c r="SPG18" s="24"/>
      <c r="SPI18" s="24"/>
      <c r="SPK18" s="24"/>
      <c r="SPM18" s="24"/>
      <c r="SPO18" s="24"/>
      <c r="SPQ18" s="24"/>
      <c r="SPS18" s="24"/>
      <c r="SPU18" s="24"/>
      <c r="SPW18" s="24"/>
      <c r="SPY18" s="24"/>
      <c r="SQA18" s="24"/>
      <c r="SQC18" s="24"/>
      <c r="SQE18" s="24"/>
      <c r="SQG18" s="24"/>
      <c r="SQI18" s="24"/>
      <c r="SQK18" s="24"/>
      <c r="SQM18" s="24"/>
      <c r="SQO18" s="24"/>
      <c r="SQQ18" s="24"/>
      <c r="SQS18" s="24"/>
      <c r="SQU18" s="24"/>
      <c r="SQW18" s="24"/>
      <c r="SQY18" s="24"/>
      <c r="SRA18" s="24"/>
      <c r="SRC18" s="24"/>
      <c r="SRE18" s="24"/>
      <c r="SRG18" s="24"/>
      <c r="SRI18" s="24"/>
      <c r="SRK18" s="24"/>
      <c r="SRM18" s="24"/>
      <c r="SRO18" s="24"/>
      <c r="SRQ18" s="24"/>
      <c r="SRS18" s="24"/>
      <c r="SRU18" s="24"/>
      <c r="SRW18" s="24"/>
      <c r="SRY18" s="24"/>
      <c r="SSA18" s="24"/>
      <c r="SSC18" s="24"/>
      <c r="SSE18" s="24"/>
      <c r="SSG18" s="24"/>
      <c r="SSI18" s="24"/>
      <c r="SSK18" s="24"/>
      <c r="SSM18" s="24"/>
      <c r="SSO18" s="24"/>
      <c r="SSQ18" s="24"/>
      <c r="SSS18" s="24"/>
      <c r="SSU18" s="24"/>
      <c r="SSW18" s="24"/>
      <c r="SSY18" s="24"/>
      <c r="STA18" s="24"/>
      <c r="STC18" s="24"/>
      <c r="STE18" s="24"/>
      <c r="STG18" s="24"/>
      <c r="STI18" s="24"/>
      <c r="STK18" s="24"/>
      <c r="STM18" s="24"/>
      <c r="STO18" s="24"/>
      <c r="STQ18" s="24"/>
      <c r="STS18" s="24"/>
      <c r="STU18" s="24"/>
      <c r="STW18" s="24"/>
      <c r="STY18" s="24"/>
      <c r="SUA18" s="24"/>
      <c r="SUC18" s="24"/>
      <c r="SUE18" s="24"/>
      <c r="SUG18" s="24"/>
      <c r="SUI18" s="24"/>
      <c r="SUK18" s="24"/>
      <c r="SUM18" s="24"/>
      <c r="SUO18" s="24"/>
      <c r="SUQ18" s="24"/>
      <c r="SUS18" s="24"/>
      <c r="SUU18" s="24"/>
      <c r="SUW18" s="24"/>
      <c r="SUY18" s="24"/>
      <c r="SVA18" s="24"/>
      <c r="SVC18" s="24"/>
      <c r="SVE18" s="24"/>
      <c r="SVG18" s="24"/>
      <c r="SVI18" s="24"/>
      <c r="SVK18" s="24"/>
      <c r="SVM18" s="24"/>
      <c r="SVO18" s="24"/>
      <c r="SVQ18" s="24"/>
      <c r="SVS18" s="24"/>
      <c r="SVU18" s="24"/>
      <c r="SVW18" s="24"/>
      <c r="SVY18" s="24"/>
      <c r="SWA18" s="24"/>
      <c r="SWC18" s="24"/>
      <c r="SWE18" s="24"/>
      <c r="SWG18" s="24"/>
      <c r="SWI18" s="24"/>
      <c r="SWK18" s="24"/>
      <c r="SWM18" s="24"/>
      <c r="SWO18" s="24"/>
      <c r="SWQ18" s="24"/>
      <c r="SWS18" s="24"/>
      <c r="SWU18" s="24"/>
      <c r="SWW18" s="24"/>
      <c r="SWY18" s="24"/>
      <c r="SXA18" s="24"/>
      <c r="SXC18" s="24"/>
      <c r="SXE18" s="24"/>
      <c r="SXG18" s="24"/>
      <c r="SXI18" s="24"/>
      <c r="SXK18" s="24"/>
      <c r="SXM18" s="24"/>
      <c r="SXO18" s="24"/>
      <c r="SXQ18" s="24"/>
      <c r="SXS18" s="24"/>
      <c r="SXU18" s="24"/>
      <c r="SXW18" s="24"/>
      <c r="SXY18" s="24"/>
      <c r="SYA18" s="24"/>
      <c r="SYC18" s="24"/>
      <c r="SYE18" s="24"/>
      <c r="SYG18" s="24"/>
      <c r="SYI18" s="24"/>
      <c r="SYK18" s="24"/>
      <c r="SYM18" s="24"/>
      <c r="SYO18" s="24"/>
      <c r="SYQ18" s="24"/>
      <c r="SYS18" s="24"/>
      <c r="SYU18" s="24"/>
      <c r="SYW18" s="24"/>
      <c r="SYY18" s="24"/>
      <c r="SZA18" s="24"/>
      <c r="SZC18" s="24"/>
      <c r="SZE18" s="24"/>
      <c r="SZG18" s="24"/>
      <c r="SZI18" s="24"/>
      <c r="SZK18" s="24"/>
      <c r="SZM18" s="24"/>
      <c r="SZO18" s="24"/>
      <c r="SZQ18" s="24"/>
      <c r="SZS18" s="24"/>
      <c r="SZU18" s="24"/>
      <c r="SZW18" s="24"/>
      <c r="SZY18" s="24"/>
      <c r="TAA18" s="24"/>
      <c r="TAC18" s="24"/>
      <c r="TAE18" s="24"/>
      <c r="TAG18" s="24"/>
      <c r="TAI18" s="24"/>
      <c r="TAK18" s="24"/>
      <c r="TAM18" s="24"/>
      <c r="TAO18" s="24"/>
      <c r="TAQ18" s="24"/>
      <c r="TAS18" s="24"/>
      <c r="TAU18" s="24"/>
      <c r="TAW18" s="24"/>
      <c r="TAY18" s="24"/>
      <c r="TBA18" s="24"/>
      <c r="TBC18" s="24"/>
      <c r="TBE18" s="24"/>
      <c r="TBG18" s="24"/>
      <c r="TBI18" s="24"/>
      <c r="TBK18" s="24"/>
      <c r="TBM18" s="24"/>
      <c r="TBO18" s="24"/>
      <c r="TBQ18" s="24"/>
      <c r="TBS18" s="24"/>
      <c r="TBU18" s="24"/>
      <c r="TBW18" s="24"/>
      <c r="TBY18" s="24"/>
      <c r="TCA18" s="24"/>
      <c r="TCC18" s="24"/>
      <c r="TCE18" s="24"/>
      <c r="TCG18" s="24"/>
      <c r="TCI18" s="24"/>
      <c r="TCK18" s="24"/>
      <c r="TCM18" s="24"/>
      <c r="TCO18" s="24"/>
      <c r="TCQ18" s="24"/>
      <c r="TCS18" s="24"/>
      <c r="TCU18" s="24"/>
      <c r="TCW18" s="24"/>
      <c r="TCY18" s="24"/>
      <c r="TDA18" s="24"/>
      <c r="TDC18" s="24"/>
      <c r="TDE18" s="24"/>
      <c r="TDG18" s="24"/>
      <c r="TDI18" s="24"/>
      <c r="TDK18" s="24"/>
      <c r="TDM18" s="24"/>
      <c r="TDO18" s="24"/>
      <c r="TDQ18" s="24"/>
      <c r="TDS18" s="24"/>
      <c r="TDU18" s="24"/>
      <c r="TDW18" s="24"/>
      <c r="TDY18" s="24"/>
      <c r="TEA18" s="24"/>
      <c r="TEC18" s="24"/>
      <c r="TEE18" s="24"/>
      <c r="TEG18" s="24"/>
      <c r="TEI18" s="24"/>
      <c r="TEK18" s="24"/>
      <c r="TEM18" s="24"/>
      <c r="TEO18" s="24"/>
      <c r="TEQ18" s="24"/>
      <c r="TES18" s="24"/>
      <c r="TEU18" s="24"/>
      <c r="TEW18" s="24"/>
      <c r="TEY18" s="24"/>
      <c r="TFA18" s="24"/>
      <c r="TFC18" s="24"/>
      <c r="TFE18" s="24"/>
      <c r="TFG18" s="24"/>
      <c r="TFI18" s="24"/>
      <c r="TFK18" s="24"/>
      <c r="TFM18" s="24"/>
      <c r="TFO18" s="24"/>
      <c r="TFQ18" s="24"/>
      <c r="TFS18" s="24"/>
      <c r="TFU18" s="24"/>
      <c r="TFW18" s="24"/>
      <c r="TFY18" s="24"/>
      <c r="TGA18" s="24"/>
      <c r="TGC18" s="24"/>
      <c r="TGE18" s="24"/>
      <c r="TGG18" s="24"/>
      <c r="TGI18" s="24"/>
      <c r="TGK18" s="24"/>
      <c r="TGM18" s="24"/>
      <c r="TGO18" s="24"/>
      <c r="TGQ18" s="24"/>
      <c r="TGS18" s="24"/>
      <c r="TGU18" s="24"/>
      <c r="TGW18" s="24"/>
      <c r="TGY18" s="24"/>
      <c r="THA18" s="24"/>
      <c r="THC18" s="24"/>
      <c r="THE18" s="24"/>
      <c r="THG18" s="24"/>
      <c r="THI18" s="24"/>
      <c r="THK18" s="24"/>
      <c r="THM18" s="24"/>
      <c r="THO18" s="24"/>
      <c r="THQ18" s="24"/>
      <c r="THS18" s="24"/>
      <c r="THU18" s="24"/>
      <c r="THW18" s="24"/>
      <c r="THY18" s="24"/>
      <c r="TIA18" s="24"/>
      <c r="TIC18" s="24"/>
      <c r="TIE18" s="24"/>
      <c r="TIG18" s="24"/>
      <c r="TII18" s="24"/>
      <c r="TIK18" s="24"/>
      <c r="TIM18" s="24"/>
      <c r="TIO18" s="24"/>
      <c r="TIQ18" s="24"/>
      <c r="TIS18" s="24"/>
      <c r="TIU18" s="24"/>
      <c r="TIW18" s="24"/>
      <c r="TIY18" s="24"/>
      <c r="TJA18" s="24"/>
      <c r="TJC18" s="24"/>
      <c r="TJE18" s="24"/>
      <c r="TJG18" s="24"/>
      <c r="TJI18" s="24"/>
      <c r="TJK18" s="24"/>
      <c r="TJM18" s="24"/>
      <c r="TJO18" s="24"/>
      <c r="TJQ18" s="24"/>
      <c r="TJS18" s="24"/>
      <c r="TJU18" s="24"/>
      <c r="TJW18" s="24"/>
      <c r="TJY18" s="24"/>
      <c r="TKA18" s="24"/>
      <c r="TKC18" s="24"/>
      <c r="TKE18" s="24"/>
      <c r="TKG18" s="24"/>
      <c r="TKI18" s="24"/>
      <c r="TKK18" s="24"/>
      <c r="TKM18" s="24"/>
      <c r="TKO18" s="24"/>
      <c r="TKQ18" s="24"/>
      <c r="TKS18" s="24"/>
      <c r="TKU18" s="24"/>
      <c r="TKW18" s="24"/>
      <c r="TKY18" s="24"/>
      <c r="TLA18" s="24"/>
      <c r="TLC18" s="24"/>
      <c r="TLE18" s="24"/>
      <c r="TLG18" s="24"/>
      <c r="TLI18" s="24"/>
      <c r="TLK18" s="24"/>
      <c r="TLM18" s="24"/>
      <c r="TLO18" s="24"/>
      <c r="TLQ18" s="24"/>
      <c r="TLS18" s="24"/>
      <c r="TLU18" s="24"/>
      <c r="TLW18" s="24"/>
      <c r="TLY18" s="24"/>
      <c r="TMA18" s="24"/>
      <c r="TMC18" s="24"/>
      <c r="TME18" s="24"/>
      <c r="TMG18" s="24"/>
      <c r="TMI18" s="24"/>
      <c r="TMK18" s="24"/>
      <c r="TMM18" s="24"/>
      <c r="TMO18" s="24"/>
      <c r="TMQ18" s="24"/>
      <c r="TMS18" s="24"/>
      <c r="TMU18" s="24"/>
      <c r="TMW18" s="24"/>
      <c r="TMY18" s="24"/>
      <c r="TNA18" s="24"/>
      <c r="TNC18" s="24"/>
      <c r="TNE18" s="24"/>
      <c r="TNG18" s="24"/>
      <c r="TNI18" s="24"/>
      <c r="TNK18" s="24"/>
      <c r="TNM18" s="24"/>
      <c r="TNO18" s="24"/>
      <c r="TNQ18" s="24"/>
      <c r="TNS18" s="24"/>
      <c r="TNU18" s="24"/>
      <c r="TNW18" s="24"/>
      <c r="TNY18" s="24"/>
      <c r="TOA18" s="24"/>
      <c r="TOC18" s="24"/>
      <c r="TOE18" s="24"/>
      <c r="TOG18" s="24"/>
      <c r="TOI18" s="24"/>
      <c r="TOK18" s="24"/>
      <c r="TOM18" s="24"/>
      <c r="TOO18" s="24"/>
      <c r="TOQ18" s="24"/>
      <c r="TOS18" s="24"/>
      <c r="TOU18" s="24"/>
      <c r="TOW18" s="24"/>
      <c r="TOY18" s="24"/>
      <c r="TPA18" s="24"/>
      <c r="TPC18" s="24"/>
      <c r="TPE18" s="24"/>
      <c r="TPG18" s="24"/>
      <c r="TPI18" s="24"/>
      <c r="TPK18" s="24"/>
      <c r="TPM18" s="24"/>
      <c r="TPO18" s="24"/>
      <c r="TPQ18" s="24"/>
      <c r="TPS18" s="24"/>
      <c r="TPU18" s="24"/>
      <c r="TPW18" s="24"/>
      <c r="TPY18" s="24"/>
      <c r="TQA18" s="24"/>
      <c r="TQC18" s="24"/>
      <c r="TQE18" s="24"/>
      <c r="TQG18" s="24"/>
      <c r="TQI18" s="24"/>
      <c r="TQK18" s="24"/>
      <c r="TQM18" s="24"/>
      <c r="TQO18" s="24"/>
      <c r="TQQ18" s="24"/>
      <c r="TQS18" s="24"/>
      <c r="TQU18" s="24"/>
      <c r="TQW18" s="24"/>
      <c r="TQY18" s="24"/>
      <c r="TRA18" s="24"/>
      <c r="TRC18" s="24"/>
      <c r="TRE18" s="24"/>
      <c r="TRG18" s="24"/>
      <c r="TRI18" s="24"/>
      <c r="TRK18" s="24"/>
      <c r="TRM18" s="24"/>
      <c r="TRO18" s="24"/>
      <c r="TRQ18" s="24"/>
      <c r="TRS18" s="24"/>
      <c r="TRU18" s="24"/>
      <c r="TRW18" s="24"/>
      <c r="TRY18" s="24"/>
      <c r="TSA18" s="24"/>
      <c r="TSC18" s="24"/>
      <c r="TSE18" s="24"/>
      <c r="TSG18" s="24"/>
      <c r="TSI18" s="24"/>
      <c r="TSK18" s="24"/>
      <c r="TSM18" s="24"/>
      <c r="TSO18" s="24"/>
      <c r="TSQ18" s="24"/>
      <c r="TSS18" s="24"/>
      <c r="TSU18" s="24"/>
      <c r="TSW18" s="24"/>
      <c r="TSY18" s="24"/>
      <c r="TTA18" s="24"/>
      <c r="TTC18" s="24"/>
      <c r="TTE18" s="24"/>
      <c r="TTG18" s="24"/>
      <c r="TTI18" s="24"/>
      <c r="TTK18" s="24"/>
      <c r="TTM18" s="24"/>
      <c r="TTO18" s="24"/>
      <c r="TTQ18" s="24"/>
      <c r="TTS18" s="24"/>
      <c r="TTU18" s="24"/>
      <c r="TTW18" s="24"/>
      <c r="TTY18" s="24"/>
      <c r="TUA18" s="24"/>
      <c r="TUC18" s="24"/>
      <c r="TUE18" s="24"/>
      <c r="TUG18" s="24"/>
      <c r="TUI18" s="24"/>
      <c r="TUK18" s="24"/>
      <c r="TUM18" s="24"/>
      <c r="TUO18" s="24"/>
      <c r="TUQ18" s="24"/>
      <c r="TUS18" s="24"/>
      <c r="TUU18" s="24"/>
      <c r="TUW18" s="24"/>
      <c r="TUY18" s="24"/>
      <c r="TVA18" s="24"/>
      <c r="TVC18" s="24"/>
      <c r="TVE18" s="24"/>
      <c r="TVG18" s="24"/>
      <c r="TVI18" s="24"/>
      <c r="TVK18" s="24"/>
      <c r="TVM18" s="24"/>
      <c r="TVO18" s="24"/>
      <c r="TVQ18" s="24"/>
      <c r="TVS18" s="24"/>
      <c r="TVU18" s="24"/>
      <c r="TVW18" s="24"/>
      <c r="TVY18" s="24"/>
      <c r="TWA18" s="24"/>
      <c r="TWC18" s="24"/>
      <c r="TWE18" s="24"/>
      <c r="TWG18" s="24"/>
      <c r="TWI18" s="24"/>
      <c r="TWK18" s="24"/>
      <c r="TWM18" s="24"/>
      <c r="TWO18" s="24"/>
      <c r="TWQ18" s="24"/>
      <c r="TWS18" s="24"/>
      <c r="TWU18" s="24"/>
      <c r="TWW18" s="24"/>
      <c r="TWY18" s="24"/>
      <c r="TXA18" s="24"/>
      <c r="TXC18" s="24"/>
      <c r="TXE18" s="24"/>
      <c r="TXG18" s="24"/>
      <c r="TXI18" s="24"/>
      <c r="TXK18" s="24"/>
      <c r="TXM18" s="24"/>
      <c r="TXO18" s="24"/>
      <c r="TXQ18" s="24"/>
      <c r="TXS18" s="24"/>
      <c r="TXU18" s="24"/>
      <c r="TXW18" s="24"/>
      <c r="TXY18" s="24"/>
      <c r="TYA18" s="24"/>
      <c r="TYC18" s="24"/>
      <c r="TYE18" s="24"/>
      <c r="TYG18" s="24"/>
      <c r="TYI18" s="24"/>
      <c r="TYK18" s="24"/>
      <c r="TYM18" s="24"/>
      <c r="TYO18" s="24"/>
      <c r="TYQ18" s="24"/>
      <c r="TYS18" s="24"/>
      <c r="TYU18" s="24"/>
      <c r="TYW18" s="24"/>
      <c r="TYY18" s="24"/>
      <c r="TZA18" s="24"/>
      <c r="TZC18" s="24"/>
      <c r="TZE18" s="24"/>
      <c r="TZG18" s="24"/>
      <c r="TZI18" s="24"/>
      <c r="TZK18" s="24"/>
      <c r="TZM18" s="24"/>
      <c r="TZO18" s="24"/>
      <c r="TZQ18" s="24"/>
      <c r="TZS18" s="24"/>
      <c r="TZU18" s="24"/>
      <c r="TZW18" s="24"/>
      <c r="TZY18" s="24"/>
      <c r="UAA18" s="24"/>
      <c r="UAC18" s="24"/>
      <c r="UAE18" s="24"/>
      <c r="UAG18" s="24"/>
      <c r="UAI18" s="24"/>
      <c r="UAK18" s="24"/>
      <c r="UAM18" s="24"/>
      <c r="UAO18" s="24"/>
      <c r="UAQ18" s="24"/>
      <c r="UAS18" s="24"/>
      <c r="UAU18" s="24"/>
      <c r="UAW18" s="24"/>
      <c r="UAY18" s="24"/>
      <c r="UBA18" s="24"/>
      <c r="UBC18" s="24"/>
      <c r="UBE18" s="24"/>
      <c r="UBG18" s="24"/>
      <c r="UBI18" s="24"/>
      <c r="UBK18" s="24"/>
      <c r="UBM18" s="24"/>
      <c r="UBO18" s="24"/>
      <c r="UBQ18" s="24"/>
      <c r="UBS18" s="24"/>
      <c r="UBU18" s="24"/>
      <c r="UBW18" s="24"/>
      <c r="UBY18" s="24"/>
      <c r="UCA18" s="24"/>
      <c r="UCC18" s="24"/>
      <c r="UCE18" s="24"/>
      <c r="UCG18" s="24"/>
      <c r="UCI18" s="24"/>
      <c r="UCK18" s="24"/>
      <c r="UCM18" s="24"/>
      <c r="UCO18" s="24"/>
      <c r="UCQ18" s="24"/>
      <c r="UCS18" s="24"/>
      <c r="UCU18" s="24"/>
      <c r="UCW18" s="24"/>
      <c r="UCY18" s="24"/>
      <c r="UDA18" s="24"/>
      <c r="UDC18" s="24"/>
      <c r="UDE18" s="24"/>
      <c r="UDG18" s="24"/>
      <c r="UDI18" s="24"/>
      <c r="UDK18" s="24"/>
      <c r="UDM18" s="24"/>
      <c r="UDO18" s="24"/>
      <c r="UDQ18" s="24"/>
      <c r="UDS18" s="24"/>
      <c r="UDU18" s="24"/>
      <c r="UDW18" s="24"/>
      <c r="UDY18" s="24"/>
      <c r="UEA18" s="24"/>
      <c r="UEC18" s="24"/>
      <c r="UEE18" s="24"/>
      <c r="UEG18" s="24"/>
      <c r="UEI18" s="24"/>
      <c r="UEK18" s="24"/>
      <c r="UEM18" s="24"/>
      <c r="UEO18" s="24"/>
      <c r="UEQ18" s="24"/>
      <c r="UES18" s="24"/>
      <c r="UEU18" s="24"/>
      <c r="UEW18" s="24"/>
      <c r="UEY18" s="24"/>
      <c r="UFA18" s="24"/>
      <c r="UFC18" s="24"/>
      <c r="UFE18" s="24"/>
      <c r="UFG18" s="24"/>
      <c r="UFI18" s="24"/>
      <c r="UFK18" s="24"/>
      <c r="UFM18" s="24"/>
      <c r="UFO18" s="24"/>
      <c r="UFQ18" s="24"/>
      <c r="UFS18" s="24"/>
      <c r="UFU18" s="24"/>
      <c r="UFW18" s="24"/>
      <c r="UFY18" s="24"/>
      <c r="UGA18" s="24"/>
      <c r="UGC18" s="24"/>
      <c r="UGE18" s="24"/>
      <c r="UGG18" s="24"/>
      <c r="UGI18" s="24"/>
      <c r="UGK18" s="24"/>
      <c r="UGM18" s="24"/>
      <c r="UGO18" s="24"/>
      <c r="UGQ18" s="24"/>
      <c r="UGS18" s="24"/>
      <c r="UGU18" s="24"/>
      <c r="UGW18" s="24"/>
      <c r="UGY18" s="24"/>
      <c r="UHA18" s="24"/>
      <c r="UHC18" s="24"/>
      <c r="UHE18" s="24"/>
      <c r="UHG18" s="24"/>
      <c r="UHI18" s="24"/>
      <c r="UHK18" s="24"/>
      <c r="UHM18" s="24"/>
      <c r="UHO18" s="24"/>
      <c r="UHQ18" s="24"/>
      <c r="UHS18" s="24"/>
      <c r="UHU18" s="24"/>
      <c r="UHW18" s="24"/>
      <c r="UHY18" s="24"/>
      <c r="UIA18" s="24"/>
      <c r="UIC18" s="24"/>
      <c r="UIE18" s="24"/>
      <c r="UIG18" s="24"/>
      <c r="UII18" s="24"/>
      <c r="UIK18" s="24"/>
      <c r="UIM18" s="24"/>
      <c r="UIO18" s="24"/>
      <c r="UIQ18" s="24"/>
      <c r="UIS18" s="24"/>
      <c r="UIU18" s="24"/>
      <c r="UIW18" s="24"/>
      <c r="UIY18" s="24"/>
      <c r="UJA18" s="24"/>
      <c r="UJC18" s="24"/>
      <c r="UJE18" s="24"/>
      <c r="UJG18" s="24"/>
      <c r="UJI18" s="24"/>
      <c r="UJK18" s="24"/>
      <c r="UJM18" s="24"/>
      <c r="UJO18" s="24"/>
      <c r="UJQ18" s="24"/>
      <c r="UJS18" s="24"/>
      <c r="UJU18" s="24"/>
      <c r="UJW18" s="24"/>
      <c r="UJY18" s="24"/>
      <c r="UKA18" s="24"/>
      <c r="UKC18" s="24"/>
      <c r="UKE18" s="24"/>
      <c r="UKG18" s="24"/>
      <c r="UKI18" s="24"/>
      <c r="UKK18" s="24"/>
      <c r="UKM18" s="24"/>
      <c r="UKO18" s="24"/>
      <c r="UKQ18" s="24"/>
      <c r="UKS18" s="24"/>
      <c r="UKU18" s="24"/>
      <c r="UKW18" s="24"/>
      <c r="UKY18" s="24"/>
      <c r="ULA18" s="24"/>
      <c r="ULC18" s="24"/>
      <c r="ULE18" s="24"/>
      <c r="ULG18" s="24"/>
      <c r="ULI18" s="24"/>
      <c r="ULK18" s="24"/>
      <c r="ULM18" s="24"/>
      <c r="ULO18" s="24"/>
      <c r="ULQ18" s="24"/>
      <c r="ULS18" s="24"/>
      <c r="ULU18" s="24"/>
      <c r="ULW18" s="24"/>
      <c r="ULY18" s="24"/>
      <c r="UMA18" s="24"/>
      <c r="UMC18" s="24"/>
      <c r="UME18" s="24"/>
      <c r="UMG18" s="24"/>
      <c r="UMI18" s="24"/>
      <c r="UMK18" s="24"/>
      <c r="UMM18" s="24"/>
      <c r="UMO18" s="24"/>
      <c r="UMQ18" s="24"/>
      <c r="UMS18" s="24"/>
      <c r="UMU18" s="24"/>
      <c r="UMW18" s="24"/>
      <c r="UMY18" s="24"/>
      <c r="UNA18" s="24"/>
      <c r="UNC18" s="24"/>
      <c r="UNE18" s="24"/>
      <c r="UNG18" s="24"/>
      <c r="UNI18" s="24"/>
      <c r="UNK18" s="24"/>
      <c r="UNM18" s="24"/>
      <c r="UNO18" s="24"/>
      <c r="UNQ18" s="24"/>
      <c r="UNS18" s="24"/>
      <c r="UNU18" s="24"/>
      <c r="UNW18" s="24"/>
      <c r="UNY18" s="24"/>
      <c r="UOA18" s="24"/>
      <c r="UOC18" s="24"/>
      <c r="UOE18" s="24"/>
      <c r="UOG18" s="24"/>
      <c r="UOI18" s="24"/>
      <c r="UOK18" s="24"/>
      <c r="UOM18" s="24"/>
      <c r="UOO18" s="24"/>
      <c r="UOQ18" s="24"/>
      <c r="UOS18" s="24"/>
      <c r="UOU18" s="24"/>
      <c r="UOW18" s="24"/>
      <c r="UOY18" s="24"/>
      <c r="UPA18" s="24"/>
      <c r="UPC18" s="24"/>
      <c r="UPE18" s="24"/>
      <c r="UPG18" s="24"/>
      <c r="UPI18" s="24"/>
      <c r="UPK18" s="24"/>
      <c r="UPM18" s="24"/>
      <c r="UPO18" s="24"/>
      <c r="UPQ18" s="24"/>
      <c r="UPS18" s="24"/>
      <c r="UPU18" s="24"/>
      <c r="UPW18" s="24"/>
      <c r="UPY18" s="24"/>
      <c r="UQA18" s="24"/>
      <c r="UQC18" s="24"/>
      <c r="UQE18" s="24"/>
      <c r="UQG18" s="24"/>
      <c r="UQI18" s="24"/>
      <c r="UQK18" s="24"/>
      <c r="UQM18" s="24"/>
      <c r="UQO18" s="24"/>
      <c r="UQQ18" s="24"/>
      <c r="UQS18" s="24"/>
      <c r="UQU18" s="24"/>
      <c r="UQW18" s="24"/>
      <c r="UQY18" s="24"/>
      <c r="URA18" s="24"/>
      <c r="URC18" s="24"/>
      <c r="URE18" s="24"/>
      <c r="URG18" s="24"/>
      <c r="URI18" s="24"/>
      <c r="URK18" s="24"/>
      <c r="URM18" s="24"/>
      <c r="URO18" s="24"/>
      <c r="URQ18" s="24"/>
      <c r="URS18" s="24"/>
      <c r="URU18" s="24"/>
      <c r="URW18" s="24"/>
      <c r="URY18" s="24"/>
      <c r="USA18" s="24"/>
      <c r="USC18" s="24"/>
      <c r="USE18" s="24"/>
      <c r="USG18" s="24"/>
      <c r="USI18" s="24"/>
      <c r="USK18" s="24"/>
      <c r="USM18" s="24"/>
      <c r="USO18" s="24"/>
      <c r="USQ18" s="24"/>
      <c r="USS18" s="24"/>
      <c r="USU18" s="24"/>
      <c r="USW18" s="24"/>
      <c r="USY18" s="24"/>
      <c r="UTA18" s="24"/>
      <c r="UTC18" s="24"/>
      <c r="UTE18" s="24"/>
      <c r="UTG18" s="24"/>
      <c r="UTI18" s="24"/>
      <c r="UTK18" s="24"/>
      <c r="UTM18" s="24"/>
      <c r="UTO18" s="24"/>
      <c r="UTQ18" s="24"/>
      <c r="UTS18" s="24"/>
      <c r="UTU18" s="24"/>
      <c r="UTW18" s="24"/>
      <c r="UTY18" s="24"/>
      <c r="UUA18" s="24"/>
      <c r="UUC18" s="24"/>
      <c r="UUE18" s="24"/>
      <c r="UUG18" s="24"/>
      <c r="UUI18" s="24"/>
      <c r="UUK18" s="24"/>
      <c r="UUM18" s="24"/>
      <c r="UUO18" s="24"/>
      <c r="UUQ18" s="24"/>
      <c r="UUS18" s="24"/>
      <c r="UUU18" s="24"/>
      <c r="UUW18" s="24"/>
      <c r="UUY18" s="24"/>
      <c r="UVA18" s="24"/>
      <c r="UVC18" s="24"/>
      <c r="UVE18" s="24"/>
      <c r="UVG18" s="24"/>
      <c r="UVI18" s="24"/>
      <c r="UVK18" s="24"/>
      <c r="UVM18" s="24"/>
      <c r="UVO18" s="24"/>
      <c r="UVQ18" s="24"/>
      <c r="UVS18" s="24"/>
      <c r="UVU18" s="24"/>
      <c r="UVW18" s="24"/>
      <c r="UVY18" s="24"/>
      <c r="UWA18" s="24"/>
      <c r="UWC18" s="24"/>
      <c r="UWE18" s="24"/>
      <c r="UWG18" s="24"/>
      <c r="UWI18" s="24"/>
      <c r="UWK18" s="24"/>
      <c r="UWM18" s="24"/>
      <c r="UWO18" s="24"/>
      <c r="UWQ18" s="24"/>
      <c r="UWS18" s="24"/>
      <c r="UWU18" s="24"/>
      <c r="UWW18" s="24"/>
      <c r="UWY18" s="24"/>
      <c r="UXA18" s="24"/>
      <c r="UXC18" s="24"/>
      <c r="UXE18" s="24"/>
      <c r="UXG18" s="24"/>
      <c r="UXI18" s="24"/>
      <c r="UXK18" s="24"/>
      <c r="UXM18" s="24"/>
      <c r="UXO18" s="24"/>
      <c r="UXQ18" s="24"/>
      <c r="UXS18" s="24"/>
      <c r="UXU18" s="24"/>
      <c r="UXW18" s="24"/>
      <c r="UXY18" s="24"/>
      <c r="UYA18" s="24"/>
      <c r="UYC18" s="24"/>
      <c r="UYE18" s="24"/>
      <c r="UYG18" s="24"/>
      <c r="UYI18" s="24"/>
      <c r="UYK18" s="24"/>
      <c r="UYM18" s="24"/>
      <c r="UYO18" s="24"/>
      <c r="UYQ18" s="24"/>
      <c r="UYS18" s="24"/>
      <c r="UYU18" s="24"/>
      <c r="UYW18" s="24"/>
      <c r="UYY18" s="24"/>
      <c r="UZA18" s="24"/>
      <c r="UZC18" s="24"/>
      <c r="UZE18" s="24"/>
      <c r="UZG18" s="24"/>
      <c r="UZI18" s="24"/>
      <c r="UZK18" s="24"/>
      <c r="UZM18" s="24"/>
      <c r="UZO18" s="24"/>
      <c r="UZQ18" s="24"/>
      <c r="UZS18" s="24"/>
      <c r="UZU18" s="24"/>
      <c r="UZW18" s="24"/>
      <c r="UZY18" s="24"/>
      <c r="VAA18" s="24"/>
      <c r="VAC18" s="24"/>
      <c r="VAE18" s="24"/>
      <c r="VAG18" s="24"/>
      <c r="VAI18" s="24"/>
      <c r="VAK18" s="24"/>
      <c r="VAM18" s="24"/>
      <c r="VAO18" s="24"/>
      <c r="VAQ18" s="24"/>
      <c r="VAS18" s="24"/>
      <c r="VAU18" s="24"/>
      <c r="VAW18" s="24"/>
      <c r="VAY18" s="24"/>
      <c r="VBA18" s="24"/>
      <c r="VBC18" s="24"/>
      <c r="VBE18" s="24"/>
      <c r="VBG18" s="24"/>
      <c r="VBI18" s="24"/>
      <c r="VBK18" s="24"/>
      <c r="VBM18" s="24"/>
      <c r="VBO18" s="24"/>
      <c r="VBQ18" s="24"/>
      <c r="VBS18" s="24"/>
      <c r="VBU18" s="24"/>
      <c r="VBW18" s="24"/>
      <c r="VBY18" s="24"/>
      <c r="VCA18" s="24"/>
      <c r="VCC18" s="24"/>
      <c r="VCE18" s="24"/>
      <c r="VCG18" s="24"/>
      <c r="VCI18" s="24"/>
      <c r="VCK18" s="24"/>
      <c r="VCM18" s="24"/>
      <c r="VCO18" s="24"/>
      <c r="VCQ18" s="24"/>
      <c r="VCS18" s="24"/>
      <c r="VCU18" s="24"/>
      <c r="VCW18" s="24"/>
      <c r="VCY18" s="24"/>
      <c r="VDA18" s="24"/>
      <c r="VDC18" s="24"/>
      <c r="VDE18" s="24"/>
      <c r="VDG18" s="24"/>
      <c r="VDI18" s="24"/>
      <c r="VDK18" s="24"/>
      <c r="VDM18" s="24"/>
      <c r="VDO18" s="24"/>
      <c r="VDQ18" s="24"/>
      <c r="VDS18" s="24"/>
      <c r="VDU18" s="24"/>
      <c r="VDW18" s="24"/>
      <c r="VDY18" s="24"/>
      <c r="VEA18" s="24"/>
      <c r="VEC18" s="24"/>
      <c r="VEE18" s="24"/>
      <c r="VEG18" s="24"/>
      <c r="VEI18" s="24"/>
      <c r="VEK18" s="24"/>
      <c r="VEM18" s="24"/>
      <c r="VEO18" s="24"/>
      <c r="VEQ18" s="24"/>
      <c r="VES18" s="24"/>
      <c r="VEU18" s="24"/>
      <c r="VEW18" s="24"/>
      <c r="VEY18" s="24"/>
      <c r="VFA18" s="24"/>
      <c r="VFC18" s="24"/>
      <c r="VFE18" s="24"/>
      <c r="VFG18" s="24"/>
      <c r="VFI18" s="24"/>
      <c r="VFK18" s="24"/>
      <c r="VFM18" s="24"/>
      <c r="VFO18" s="24"/>
      <c r="VFQ18" s="24"/>
      <c r="VFS18" s="24"/>
      <c r="VFU18" s="24"/>
      <c r="VFW18" s="24"/>
      <c r="VFY18" s="24"/>
      <c r="VGA18" s="24"/>
      <c r="VGC18" s="24"/>
      <c r="VGE18" s="24"/>
      <c r="VGG18" s="24"/>
      <c r="VGI18" s="24"/>
      <c r="VGK18" s="24"/>
      <c r="VGM18" s="24"/>
      <c r="VGO18" s="24"/>
      <c r="VGQ18" s="24"/>
      <c r="VGS18" s="24"/>
      <c r="VGU18" s="24"/>
      <c r="VGW18" s="24"/>
      <c r="VGY18" s="24"/>
      <c r="VHA18" s="24"/>
      <c r="VHC18" s="24"/>
      <c r="VHE18" s="24"/>
      <c r="VHG18" s="24"/>
      <c r="VHI18" s="24"/>
      <c r="VHK18" s="24"/>
      <c r="VHM18" s="24"/>
      <c r="VHO18" s="24"/>
      <c r="VHQ18" s="24"/>
      <c r="VHS18" s="24"/>
      <c r="VHU18" s="24"/>
      <c r="VHW18" s="24"/>
      <c r="VHY18" s="24"/>
      <c r="VIA18" s="24"/>
      <c r="VIC18" s="24"/>
      <c r="VIE18" s="24"/>
      <c r="VIG18" s="24"/>
      <c r="VII18" s="24"/>
      <c r="VIK18" s="24"/>
      <c r="VIM18" s="24"/>
      <c r="VIO18" s="24"/>
      <c r="VIQ18" s="24"/>
      <c r="VIS18" s="24"/>
      <c r="VIU18" s="24"/>
      <c r="VIW18" s="24"/>
      <c r="VIY18" s="24"/>
      <c r="VJA18" s="24"/>
      <c r="VJC18" s="24"/>
      <c r="VJE18" s="24"/>
      <c r="VJG18" s="24"/>
      <c r="VJI18" s="24"/>
      <c r="VJK18" s="24"/>
      <c r="VJM18" s="24"/>
      <c r="VJO18" s="24"/>
      <c r="VJQ18" s="24"/>
      <c r="VJS18" s="24"/>
      <c r="VJU18" s="24"/>
      <c r="VJW18" s="24"/>
      <c r="VJY18" s="24"/>
      <c r="VKA18" s="24"/>
      <c r="VKC18" s="24"/>
      <c r="VKE18" s="24"/>
      <c r="VKG18" s="24"/>
      <c r="VKI18" s="24"/>
      <c r="VKK18" s="24"/>
      <c r="VKM18" s="24"/>
      <c r="VKO18" s="24"/>
      <c r="VKQ18" s="24"/>
      <c r="VKS18" s="24"/>
      <c r="VKU18" s="24"/>
      <c r="VKW18" s="24"/>
      <c r="VKY18" s="24"/>
      <c r="VLA18" s="24"/>
      <c r="VLC18" s="24"/>
      <c r="VLE18" s="24"/>
      <c r="VLG18" s="24"/>
      <c r="VLI18" s="24"/>
      <c r="VLK18" s="24"/>
      <c r="VLM18" s="24"/>
      <c r="VLO18" s="24"/>
      <c r="VLQ18" s="24"/>
      <c r="VLS18" s="24"/>
      <c r="VLU18" s="24"/>
      <c r="VLW18" s="24"/>
      <c r="VLY18" s="24"/>
      <c r="VMA18" s="24"/>
      <c r="VMC18" s="24"/>
      <c r="VME18" s="24"/>
      <c r="VMG18" s="24"/>
      <c r="VMI18" s="24"/>
      <c r="VMK18" s="24"/>
      <c r="VMM18" s="24"/>
      <c r="VMO18" s="24"/>
      <c r="VMQ18" s="24"/>
      <c r="VMS18" s="24"/>
      <c r="VMU18" s="24"/>
      <c r="VMW18" s="24"/>
      <c r="VMY18" s="24"/>
      <c r="VNA18" s="24"/>
      <c r="VNC18" s="24"/>
      <c r="VNE18" s="24"/>
      <c r="VNG18" s="24"/>
      <c r="VNI18" s="24"/>
      <c r="VNK18" s="24"/>
      <c r="VNM18" s="24"/>
      <c r="VNO18" s="24"/>
      <c r="VNQ18" s="24"/>
      <c r="VNS18" s="24"/>
      <c r="VNU18" s="24"/>
      <c r="VNW18" s="24"/>
      <c r="VNY18" s="24"/>
      <c r="VOA18" s="24"/>
      <c r="VOC18" s="24"/>
      <c r="VOE18" s="24"/>
      <c r="VOG18" s="24"/>
      <c r="VOI18" s="24"/>
      <c r="VOK18" s="24"/>
      <c r="VOM18" s="24"/>
      <c r="VOO18" s="24"/>
      <c r="VOQ18" s="24"/>
      <c r="VOS18" s="24"/>
      <c r="VOU18" s="24"/>
      <c r="VOW18" s="24"/>
      <c r="VOY18" s="24"/>
      <c r="VPA18" s="24"/>
      <c r="VPC18" s="24"/>
      <c r="VPE18" s="24"/>
      <c r="VPG18" s="24"/>
      <c r="VPI18" s="24"/>
      <c r="VPK18" s="24"/>
      <c r="VPM18" s="24"/>
      <c r="VPO18" s="24"/>
      <c r="VPQ18" s="24"/>
      <c r="VPS18" s="24"/>
      <c r="VPU18" s="24"/>
      <c r="VPW18" s="24"/>
      <c r="VPY18" s="24"/>
      <c r="VQA18" s="24"/>
      <c r="VQC18" s="24"/>
      <c r="VQE18" s="24"/>
      <c r="VQG18" s="24"/>
      <c r="VQI18" s="24"/>
      <c r="VQK18" s="24"/>
      <c r="VQM18" s="24"/>
      <c r="VQO18" s="24"/>
      <c r="VQQ18" s="24"/>
      <c r="VQS18" s="24"/>
      <c r="VQU18" s="24"/>
      <c r="VQW18" s="24"/>
      <c r="VQY18" s="24"/>
      <c r="VRA18" s="24"/>
      <c r="VRC18" s="24"/>
      <c r="VRE18" s="24"/>
      <c r="VRG18" s="24"/>
      <c r="VRI18" s="24"/>
      <c r="VRK18" s="24"/>
      <c r="VRM18" s="24"/>
      <c r="VRO18" s="24"/>
      <c r="VRQ18" s="24"/>
      <c r="VRS18" s="24"/>
      <c r="VRU18" s="24"/>
      <c r="VRW18" s="24"/>
      <c r="VRY18" s="24"/>
      <c r="VSA18" s="24"/>
      <c r="VSC18" s="24"/>
      <c r="VSE18" s="24"/>
      <c r="VSG18" s="24"/>
      <c r="VSI18" s="24"/>
      <c r="VSK18" s="24"/>
      <c r="VSM18" s="24"/>
      <c r="VSO18" s="24"/>
      <c r="VSQ18" s="24"/>
      <c r="VSS18" s="24"/>
      <c r="VSU18" s="24"/>
      <c r="VSW18" s="24"/>
      <c r="VSY18" s="24"/>
      <c r="VTA18" s="24"/>
      <c r="VTC18" s="24"/>
      <c r="VTE18" s="24"/>
      <c r="VTG18" s="24"/>
      <c r="VTI18" s="24"/>
      <c r="VTK18" s="24"/>
      <c r="VTM18" s="24"/>
      <c r="VTO18" s="24"/>
      <c r="VTQ18" s="24"/>
      <c r="VTS18" s="24"/>
      <c r="VTU18" s="24"/>
      <c r="VTW18" s="24"/>
      <c r="VTY18" s="24"/>
      <c r="VUA18" s="24"/>
      <c r="VUC18" s="24"/>
      <c r="VUE18" s="24"/>
      <c r="VUG18" s="24"/>
      <c r="VUI18" s="24"/>
      <c r="VUK18" s="24"/>
      <c r="VUM18" s="24"/>
      <c r="VUO18" s="24"/>
      <c r="VUQ18" s="24"/>
      <c r="VUS18" s="24"/>
      <c r="VUU18" s="24"/>
      <c r="VUW18" s="24"/>
      <c r="VUY18" s="24"/>
      <c r="VVA18" s="24"/>
      <c r="VVC18" s="24"/>
      <c r="VVE18" s="24"/>
      <c r="VVG18" s="24"/>
      <c r="VVI18" s="24"/>
      <c r="VVK18" s="24"/>
      <c r="VVM18" s="24"/>
      <c r="VVO18" s="24"/>
      <c r="VVQ18" s="24"/>
      <c r="VVS18" s="24"/>
      <c r="VVU18" s="24"/>
      <c r="VVW18" s="24"/>
      <c r="VVY18" s="24"/>
      <c r="VWA18" s="24"/>
      <c r="VWC18" s="24"/>
      <c r="VWE18" s="24"/>
      <c r="VWG18" s="24"/>
      <c r="VWI18" s="24"/>
      <c r="VWK18" s="24"/>
      <c r="VWM18" s="24"/>
      <c r="VWO18" s="24"/>
      <c r="VWQ18" s="24"/>
      <c r="VWS18" s="24"/>
      <c r="VWU18" s="24"/>
      <c r="VWW18" s="24"/>
      <c r="VWY18" s="24"/>
      <c r="VXA18" s="24"/>
      <c r="VXC18" s="24"/>
      <c r="VXE18" s="24"/>
      <c r="VXG18" s="24"/>
      <c r="VXI18" s="24"/>
      <c r="VXK18" s="24"/>
      <c r="VXM18" s="24"/>
      <c r="VXO18" s="24"/>
      <c r="VXQ18" s="24"/>
      <c r="VXS18" s="24"/>
      <c r="VXU18" s="24"/>
      <c r="VXW18" s="24"/>
      <c r="VXY18" s="24"/>
      <c r="VYA18" s="24"/>
      <c r="VYC18" s="24"/>
      <c r="VYE18" s="24"/>
      <c r="VYG18" s="24"/>
      <c r="VYI18" s="24"/>
      <c r="VYK18" s="24"/>
      <c r="VYM18" s="24"/>
      <c r="VYO18" s="24"/>
      <c r="VYQ18" s="24"/>
      <c r="VYS18" s="24"/>
      <c r="VYU18" s="24"/>
      <c r="VYW18" s="24"/>
      <c r="VYY18" s="24"/>
      <c r="VZA18" s="24"/>
      <c r="VZC18" s="24"/>
      <c r="VZE18" s="24"/>
      <c r="VZG18" s="24"/>
      <c r="VZI18" s="24"/>
      <c r="VZK18" s="24"/>
      <c r="VZM18" s="24"/>
      <c r="VZO18" s="24"/>
      <c r="VZQ18" s="24"/>
      <c r="VZS18" s="24"/>
      <c r="VZU18" s="24"/>
      <c r="VZW18" s="24"/>
      <c r="VZY18" s="24"/>
      <c r="WAA18" s="24"/>
      <c r="WAC18" s="24"/>
      <c r="WAE18" s="24"/>
      <c r="WAG18" s="24"/>
      <c r="WAI18" s="24"/>
      <c r="WAK18" s="24"/>
      <c r="WAM18" s="24"/>
      <c r="WAO18" s="24"/>
      <c r="WAQ18" s="24"/>
      <c r="WAS18" s="24"/>
      <c r="WAU18" s="24"/>
      <c r="WAW18" s="24"/>
      <c r="WAY18" s="24"/>
      <c r="WBA18" s="24"/>
      <c r="WBC18" s="24"/>
      <c r="WBE18" s="24"/>
      <c r="WBG18" s="24"/>
      <c r="WBI18" s="24"/>
      <c r="WBK18" s="24"/>
      <c r="WBM18" s="24"/>
      <c r="WBO18" s="24"/>
      <c r="WBQ18" s="24"/>
      <c r="WBS18" s="24"/>
      <c r="WBU18" s="24"/>
      <c r="WBW18" s="24"/>
      <c r="WBY18" s="24"/>
      <c r="WCA18" s="24"/>
      <c r="WCC18" s="24"/>
      <c r="WCE18" s="24"/>
      <c r="WCG18" s="24"/>
      <c r="WCI18" s="24"/>
      <c r="WCK18" s="24"/>
      <c r="WCM18" s="24"/>
      <c r="WCO18" s="24"/>
      <c r="WCQ18" s="24"/>
      <c r="WCS18" s="24"/>
      <c r="WCU18" s="24"/>
      <c r="WCW18" s="24"/>
      <c r="WCY18" s="24"/>
      <c r="WDA18" s="24"/>
      <c r="WDC18" s="24"/>
      <c r="WDE18" s="24"/>
      <c r="WDG18" s="24"/>
      <c r="WDI18" s="24"/>
      <c r="WDK18" s="24"/>
      <c r="WDM18" s="24"/>
      <c r="WDO18" s="24"/>
      <c r="WDQ18" s="24"/>
      <c r="WDS18" s="24"/>
      <c r="WDU18" s="24"/>
      <c r="WDW18" s="24"/>
      <c r="WDY18" s="24"/>
      <c r="WEA18" s="24"/>
      <c r="WEC18" s="24"/>
      <c r="WEE18" s="24"/>
      <c r="WEG18" s="24"/>
      <c r="WEI18" s="24"/>
      <c r="WEK18" s="24"/>
      <c r="WEM18" s="24"/>
      <c r="WEO18" s="24"/>
      <c r="WEQ18" s="24"/>
      <c r="WES18" s="24"/>
      <c r="WEU18" s="24"/>
      <c r="WEW18" s="24"/>
      <c r="WEY18" s="24"/>
      <c r="WFA18" s="24"/>
      <c r="WFC18" s="24"/>
      <c r="WFE18" s="24"/>
      <c r="WFG18" s="24"/>
      <c r="WFI18" s="24"/>
      <c r="WFK18" s="24"/>
      <c r="WFM18" s="24"/>
      <c r="WFO18" s="24"/>
      <c r="WFQ18" s="24"/>
      <c r="WFS18" s="24"/>
      <c r="WFU18" s="24"/>
      <c r="WFW18" s="24"/>
      <c r="WFY18" s="24"/>
      <c r="WGA18" s="24"/>
      <c r="WGC18" s="24"/>
      <c r="WGE18" s="24"/>
      <c r="WGG18" s="24"/>
      <c r="WGI18" s="24"/>
      <c r="WGK18" s="24"/>
      <c r="WGM18" s="24"/>
      <c r="WGO18" s="24"/>
      <c r="WGQ18" s="24"/>
      <c r="WGS18" s="24"/>
      <c r="WGU18" s="24"/>
      <c r="WGW18" s="24"/>
      <c r="WGY18" s="24"/>
      <c r="WHA18" s="24"/>
      <c r="WHC18" s="24"/>
      <c r="WHE18" s="24"/>
      <c r="WHG18" s="24"/>
      <c r="WHI18" s="24"/>
      <c r="WHK18" s="24"/>
      <c r="WHM18" s="24"/>
      <c r="WHO18" s="24"/>
      <c r="WHQ18" s="24"/>
      <c r="WHS18" s="24"/>
      <c r="WHU18" s="24"/>
      <c r="WHW18" s="24"/>
      <c r="WHY18" s="24"/>
      <c r="WIA18" s="24"/>
      <c r="WIC18" s="24"/>
      <c r="WIE18" s="24"/>
      <c r="WIG18" s="24"/>
      <c r="WII18" s="24"/>
      <c r="WIK18" s="24"/>
      <c r="WIM18" s="24"/>
      <c r="WIO18" s="24"/>
      <c r="WIQ18" s="24"/>
      <c r="WIS18" s="24"/>
      <c r="WIU18" s="24"/>
      <c r="WIW18" s="24"/>
      <c r="WIY18" s="24"/>
      <c r="WJA18" s="24"/>
      <c r="WJC18" s="24"/>
      <c r="WJE18" s="24"/>
      <c r="WJG18" s="24"/>
      <c r="WJI18" s="24"/>
      <c r="WJK18" s="24"/>
      <c r="WJM18" s="24"/>
      <c r="WJO18" s="24"/>
      <c r="WJQ18" s="24"/>
      <c r="WJS18" s="24"/>
      <c r="WJU18" s="24"/>
      <c r="WJW18" s="24"/>
      <c r="WJY18" s="24"/>
      <c r="WKA18" s="24"/>
      <c r="WKC18" s="24"/>
      <c r="WKE18" s="24"/>
      <c r="WKG18" s="24"/>
      <c r="WKI18" s="24"/>
      <c r="WKK18" s="24"/>
      <c r="WKM18" s="24"/>
      <c r="WKO18" s="24"/>
      <c r="WKQ18" s="24"/>
      <c r="WKS18" s="24"/>
      <c r="WKU18" s="24"/>
      <c r="WKW18" s="24"/>
      <c r="WKY18" s="24"/>
      <c r="WLA18" s="24"/>
      <c r="WLC18" s="24"/>
      <c r="WLE18" s="24"/>
      <c r="WLG18" s="24"/>
      <c r="WLI18" s="24"/>
      <c r="WLK18" s="24"/>
      <c r="WLM18" s="24"/>
      <c r="WLO18" s="24"/>
      <c r="WLQ18" s="24"/>
      <c r="WLS18" s="24"/>
      <c r="WLU18" s="24"/>
      <c r="WLW18" s="24"/>
      <c r="WLY18" s="24"/>
      <c r="WMA18" s="24"/>
      <c r="WMC18" s="24"/>
      <c r="WME18" s="24"/>
      <c r="WMG18" s="24"/>
      <c r="WMI18" s="24"/>
      <c r="WMK18" s="24"/>
      <c r="WMM18" s="24"/>
      <c r="WMO18" s="24"/>
      <c r="WMQ18" s="24"/>
      <c r="WMS18" s="24"/>
      <c r="WMU18" s="24"/>
      <c r="WMW18" s="24"/>
      <c r="WMY18" s="24"/>
      <c r="WNA18" s="24"/>
      <c r="WNC18" s="24"/>
      <c r="WNE18" s="24"/>
      <c r="WNG18" s="24"/>
      <c r="WNI18" s="24"/>
      <c r="WNK18" s="24"/>
      <c r="WNM18" s="24"/>
      <c r="WNO18" s="24"/>
      <c r="WNQ18" s="24"/>
      <c r="WNS18" s="24"/>
      <c r="WNU18" s="24"/>
      <c r="WNW18" s="24"/>
      <c r="WNY18" s="24"/>
      <c r="WOA18" s="24"/>
      <c r="WOC18" s="24"/>
      <c r="WOE18" s="24"/>
      <c r="WOG18" s="24"/>
      <c r="WOI18" s="24"/>
      <c r="WOK18" s="24"/>
      <c r="WOM18" s="24"/>
      <c r="WOO18" s="24"/>
      <c r="WOQ18" s="24"/>
      <c r="WOS18" s="24"/>
      <c r="WOU18" s="24"/>
      <c r="WOW18" s="24"/>
      <c r="WOY18" s="24"/>
      <c r="WPA18" s="24"/>
      <c r="WPC18" s="24"/>
      <c r="WPE18" s="24"/>
      <c r="WPG18" s="24"/>
      <c r="WPI18" s="24"/>
      <c r="WPK18" s="24"/>
      <c r="WPM18" s="24"/>
      <c r="WPO18" s="24"/>
      <c r="WPQ18" s="24"/>
      <c r="WPS18" s="24"/>
      <c r="WPU18" s="24"/>
      <c r="WPW18" s="24"/>
      <c r="WPY18" s="24"/>
      <c r="WQA18" s="24"/>
      <c r="WQC18" s="24"/>
      <c r="WQE18" s="24"/>
      <c r="WQG18" s="24"/>
      <c r="WQI18" s="24"/>
      <c r="WQK18" s="24"/>
      <c r="WQM18" s="24"/>
      <c r="WQO18" s="24"/>
      <c r="WQQ18" s="24"/>
      <c r="WQS18" s="24"/>
      <c r="WQU18" s="24"/>
      <c r="WQW18" s="24"/>
      <c r="WQY18" s="24"/>
      <c r="WRA18" s="24"/>
      <c r="WRC18" s="24"/>
      <c r="WRE18" s="24"/>
      <c r="WRG18" s="24"/>
      <c r="WRI18" s="24"/>
      <c r="WRK18" s="24"/>
      <c r="WRM18" s="24"/>
      <c r="WRO18" s="24"/>
      <c r="WRQ18" s="24"/>
      <c r="WRS18" s="24"/>
      <c r="WRU18" s="24"/>
      <c r="WRW18" s="24"/>
      <c r="WRY18" s="24"/>
      <c r="WSA18" s="24"/>
      <c r="WSC18" s="24"/>
      <c r="WSE18" s="24"/>
      <c r="WSG18" s="24"/>
      <c r="WSI18" s="24"/>
      <c r="WSK18" s="24"/>
      <c r="WSM18" s="24"/>
      <c r="WSO18" s="24"/>
      <c r="WSQ18" s="24"/>
      <c r="WSS18" s="24"/>
      <c r="WSU18" s="24"/>
      <c r="WSW18" s="24"/>
      <c r="WSY18" s="24"/>
      <c r="WTA18" s="24"/>
      <c r="WTC18" s="24"/>
      <c r="WTE18" s="24"/>
      <c r="WTG18" s="24"/>
      <c r="WTI18" s="24"/>
      <c r="WTK18" s="24"/>
      <c r="WTM18" s="24"/>
      <c r="WTO18" s="24"/>
      <c r="WTQ18" s="24"/>
      <c r="WTS18" s="24"/>
      <c r="WTU18" s="24"/>
      <c r="WTW18" s="24"/>
      <c r="WTY18" s="24"/>
      <c r="WUA18" s="24"/>
      <c r="WUC18" s="24"/>
      <c r="WUE18" s="24"/>
      <c r="WUG18" s="24"/>
      <c r="WUI18" s="24"/>
      <c r="WUK18" s="24"/>
      <c r="WUM18" s="24"/>
      <c r="WUO18" s="24"/>
      <c r="WUQ18" s="24"/>
      <c r="WUS18" s="24"/>
      <c r="WUU18" s="24"/>
      <c r="WUW18" s="24"/>
      <c r="WUY18" s="24"/>
      <c r="WVA18" s="24"/>
      <c r="WVC18" s="24"/>
      <c r="WVE18" s="24"/>
      <c r="WVG18" s="24"/>
      <c r="WVI18" s="24"/>
      <c r="WVK18" s="24"/>
      <c r="WVM18" s="24"/>
      <c r="WVO18" s="24"/>
      <c r="WVQ18" s="24"/>
      <c r="WVS18" s="24"/>
      <c r="WVU18" s="24"/>
      <c r="WVW18" s="24"/>
      <c r="WVY18" s="24"/>
      <c r="WWA18" s="24"/>
      <c r="WWC18" s="24"/>
      <c r="WWE18" s="24"/>
      <c r="WWG18" s="24"/>
      <c r="WWI18" s="24"/>
      <c r="WWK18" s="24"/>
      <c r="WWM18" s="24"/>
      <c r="WWO18" s="24"/>
      <c r="WWQ18" s="24"/>
      <c r="WWS18" s="24"/>
      <c r="WWU18" s="24"/>
      <c r="WWW18" s="24"/>
      <c r="WWY18" s="24"/>
      <c r="WXA18" s="24"/>
      <c r="WXC18" s="24"/>
      <c r="WXE18" s="24"/>
      <c r="WXG18" s="24"/>
      <c r="WXI18" s="24"/>
      <c r="WXK18" s="24"/>
      <c r="WXM18" s="24"/>
      <c r="WXO18" s="24"/>
      <c r="WXQ18" s="24"/>
      <c r="WXS18" s="24"/>
      <c r="WXU18" s="24"/>
      <c r="WXW18" s="24"/>
      <c r="WXY18" s="24"/>
      <c r="WYA18" s="24"/>
      <c r="WYC18" s="24"/>
      <c r="WYE18" s="24"/>
      <c r="WYG18" s="24"/>
      <c r="WYI18" s="24"/>
      <c r="WYK18" s="24"/>
      <c r="WYM18" s="24"/>
      <c r="WYO18" s="24"/>
      <c r="WYQ18" s="24"/>
      <c r="WYS18" s="24"/>
      <c r="WYU18" s="24"/>
      <c r="WYW18" s="24"/>
      <c r="WYY18" s="24"/>
      <c r="WZA18" s="24"/>
      <c r="WZC18" s="24"/>
      <c r="WZE18" s="24"/>
      <c r="WZG18" s="24"/>
      <c r="WZI18" s="24"/>
      <c r="WZK18" s="24"/>
      <c r="WZM18" s="24"/>
      <c r="WZO18" s="24"/>
      <c r="WZQ18" s="24"/>
      <c r="WZS18" s="24"/>
      <c r="WZU18" s="24"/>
      <c r="WZW18" s="24"/>
      <c r="WZY18" s="24"/>
      <c r="XAA18" s="24"/>
      <c r="XAC18" s="24"/>
      <c r="XAE18" s="24"/>
      <c r="XAG18" s="24"/>
      <c r="XAI18" s="24"/>
      <c r="XAK18" s="24"/>
      <c r="XAM18" s="24"/>
      <c r="XAO18" s="24"/>
      <c r="XAQ18" s="24"/>
      <c r="XAS18" s="24"/>
      <c r="XAU18" s="24"/>
      <c r="XAW18" s="24"/>
      <c r="XAY18" s="24"/>
      <c r="XBA18" s="24"/>
      <c r="XBC18" s="24"/>
      <c r="XBE18" s="24"/>
      <c r="XBG18" s="24"/>
      <c r="XBI18" s="24"/>
      <c r="XBK18" s="24"/>
      <c r="XBM18" s="24"/>
      <c r="XBO18" s="24"/>
      <c r="XBQ18" s="24"/>
      <c r="XBS18" s="24"/>
      <c r="XBU18" s="24"/>
      <c r="XBW18" s="24"/>
      <c r="XBY18" s="24"/>
      <c r="XCA18" s="24"/>
      <c r="XCC18" s="24"/>
      <c r="XCE18" s="24"/>
      <c r="XCG18" s="24"/>
      <c r="XCI18" s="24"/>
      <c r="XCK18" s="24"/>
      <c r="XCM18" s="24"/>
      <c r="XCO18" s="24"/>
      <c r="XCQ18" s="24"/>
      <c r="XCS18" s="24"/>
      <c r="XCU18" s="24"/>
      <c r="XCW18" s="24"/>
      <c r="XCY18" s="24"/>
      <c r="XDA18" s="24"/>
      <c r="XDC18" s="24"/>
      <c r="XDE18" s="24"/>
      <c r="XDG18" s="24"/>
      <c r="XDI18" s="24"/>
      <c r="XDK18" s="24"/>
      <c r="XDM18" s="24"/>
      <c r="XDO18" s="24"/>
      <c r="XDQ18" s="24"/>
      <c r="XDS18" s="24"/>
      <c r="XDU18" s="24"/>
      <c r="XDW18" s="24"/>
      <c r="XDY18" s="24"/>
      <c r="XEA18" s="24"/>
      <c r="XEC18" s="24"/>
      <c r="XEE18" s="24"/>
      <c r="XEG18" s="24"/>
      <c r="XEI18" s="24"/>
      <c r="XEK18" s="24"/>
      <c r="XEM18" s="24"/>
      <c r="XEO18" s="24"/>
      <c r="XEQ18" s="24"/>
      <c r="XES18" s="24"/>
      <c r="XEU18" s="24"/>
      <c r="XEW18" s="24"/>
      <c r="XEY18" s="24"/>
      <c r="XFA18" s="24"/>
      <c r="XFC18" s="24"/>
    </row>
    <row r="19" spans="1:1023 1025:2047 2049:3071 3073:4095 4097:5119 5121:6143 6145:7167 7169:8191 8193:9215 9217:10239 10241:11263 11265:12287 12289:13311 13313:14335 14337:15359 15361:16383" ht="57" customHeight="1" x14ac:dyDescent="0.3">
      <c r="A19" s="12"/>
      <c r="B19" s="13"/>
      <c r="C19" s="14"/>
      <c r="G19" s="22"/>
      <c r="H19" s="15"/>
    </row>
    <row r="20" spans="1:1023 1025:2047 2049:3071 3073:4095 4097:5119 5121:6143 6145:7167 7169:8191 8193:9215 9217:10239 10241:11263 11265:12287 12289:13311 13313:14335 14337:15359 15361:16383" s="33" customFormat="1" ht="57" customHeight="1" x14ac:dyDescent="0.3">
      <c r="A20" s="25"/>
      <c r="B20" s="26"/>
      <c r="C20" s="27"/>
      <c r="D20" s="28"/>
      <c r="E20" s="29"/>
      <c r="F20" s="29"/>
      <c r="G20" s="30"/>
      <c r="H20" s="31"/>
      <c r="I20" s="29"/>
      <c r="J20" s="32"/>
      <c r="K20" s="32"/>
      <c r="L20" s="29"/>
      <c r="M20" s="29"/>
      <c r="P20"/>
      <c r="Q20"/>
      <c r="V20"/>
      <c r="W20"/>
    </row>
    <row r="21" spans="1:1023 1025:2047 2049:3071 3073:4095 4097:5119 5121:6143 6145:7167 7169:8191 8193:9215 9217:10239 10241:11263 11265:12287 12289:13311 13313:14335 14337:15359 15361:16383" ht="57" customHeight="1" x14ac:dyDescent="0.45">
      <c r="A21" s="7" t="s">
        <v>0</v>
      </c>
      <c r="B21" s="7" t="s">
        <v>1</v>
      </c>
      <c r="C21" s="7" t="s">
        <v>2</v>
      </c>
      <c r="D21" s="8" t="s">
        <v>3</v>
      </c>
      <c r="E21" s="7" t="s">
        <v>4</v>
      </c>
      <c r="F21" s="7" t="s">
        <v>5</v>
      </c>
      <c r="G21" s="7" t="s">
        <v>6</v>
      </c>
      <c r="H21" s="9" t="s">
        <v>7</v>
      </c>
      <c r="I21" s="10" t="s">
        <v>8</v>
      </c>
      <c r="J21" s="7" t="s">
        <v>9</v>
      </c>
      <c r="K21" s="7" t="s">
        <v>10</v>
      </c>
      <c r="L21" s="9" t="s">
        <v>11</v>
      </c>
      <c r="M21" s="7" t="s">
        <v>12</v>
      </c>
      <c r="N21" s="11"/>
    </row>
    <row r="22" spans="1:1023 1025:2047 2049:3071 3073:4095 4097:5119 5121:6143 6145:7167 7169:8191 8193:9215 9217:10239 10241:11263 11265:12287 12289:13311 13313:14335 14337:15359 15361:16383" ht="57" customHeight="1" x14ac:dyDescent="0.5">
      <c r="A22" s="95">
        <v>2</v>
      </c>
      <c r="B22" s="86" t="s">
        <v>70</v>
      </c>
      <c r="C22" s="96">
        <v>1</v>
      </c>
      <c r="D22" s="93" t="s">
        <v>71</v>
      </c>
      <c r="E22" s="4">
        <f t="shared" ref="E22:E40" si="1">ROW()-21</f>
        <v>1</v>
      </c>
      <c r="F22" s="23" t="s">
        <v>72</v>
      </c>
      <c r="G22" s="23" t="s">
        <v>73</v>
      </c>
      <c r="H22" s="23" t="s">
        <v>74</v>
      </c>
      <c r="I22" s="23" t="s">
        <v>75</v>
      </c>
      <c r="J22" s="34" t="s">
        <v>389</v>
      </c>
      <c r="K22" s="34"/>
      <c r="L22" s="23" t="s">
        <v>76</v>
      </c>
      <c r="M22" s="23" t="s">
        <v>391</v>
      </c>
    </row>
    <row r="23" spans="1:1023 1025:2047 2049:3071 3073:4095 4097:5119 5121:6143 6145:7167 7169:8191 8193:9215 9217:10239 10241:11263 11265:12287 12289:13311 13313:14335 14337:15359 15361:16383" ht="57" customHeight="1" x14ac:dyDescent="0.5">
      <c r="A23" s="95"/>
      <c r="B23" s="86"/>
      <c r="C23" s="96"/>
      <c r="D23" s="93"/>
      <c r="E23" s="4">
        <f t="shared" si="1"/>
        <v>2</v>
      </c>
      <c r="F23" s="23" t="s">
        <v>78</v>
      </c>
      <c r="G23" s="23" t="s">
        <v>79</v>
      </c>
      <c r="H23" s="23" t="s">
        <v>80</v>
      </c>
      <c r="I23" s="23" t="s">
        <v>81</v>
      </c>
      <c r="J23" s="34"/>
      <c r="K23" s="34"/>
      <c r="L23" s="23" t="s">
        <v>18</v>
      </c>
      <c r="M23" s="23" t="s">
        <v>391</v>
      </c>
    </row>
    <row r="24" spans="1:1023 1025:2047 2049:3071 3073:4095 4097:5119 5121:6143 6145:7167 7169:8191 8193:9215 9217:10239 10241:11263 11265:12287 12289:13311 13313:14335 14337:15359 15361:16383" ht="57" customHeight="1" x14ac:dyDescent="0.5">
      <c r="A24" s="95"/>
      <c r="B24" s="86"/>
      <c r="C24" s="96"/>
      <c r="D24" s="93"/>
      <c r="E24" s="4">
        <f t="shared" si="1"/>
        <v>3</v>
      </c>
      <c r="F24" s="23" t="s">
        <v>82</v>
      </c>
      <c r="G24" s="23" t="s">
        <v>83</v>
      </c>
      <c r="H24" s="23" t="s">
        <v>84</v>
      </c>
      <c r="I24" s="23" t="s">
        <v>85</v>
      </c>
      <c r="J24" s="34" t="s">
        <v>389</v>
      </c>
      <c r="K24" s="34"/>
      <c r="L24" s="23" t="s">
        <v>18</v>
      </c>
      <c r="M24" s="23" t="s">
        <v>391</v>
      </c>
    </row>
    <row r="25" spans="1:1023 1025:2047 2049:3071 3073:4095 4097:5119 5121:6143 6145:7167 7169:8191 8193:9215 9217:10239 10241:11263 11265:12287 12289:13311 13313:14335 14337:15359 15361:16383" ht="57" customHeight="1" x14ac:dyDescent="0.5">
      <c r="A25" s="95"/>
      <c r="B25" s="86"/>
      <c r="C25" s="96"/>
      <c r="D25" s="93"/>
      <c r="E25" s="4">
        <f t="shared" si="1"/>
        <v>4</v>
      </c>
      <c r="F25" s="23" t="s">
        <v>86</v>
      </c>
      <c r="G25" s="23" t="s">
        <v>87</v>
      </c>
      <c r="H25" s="23" t="s">
        <v>88</v>
      </c>
      <c r="I25" s="23" t="s">
        <v>89</v>
      </c>
      <c r="J25" s="34" t="s">
        <v>389</v>
      </c>
      <c r="K25" s="34"/>
      <c r="L25" s="23" t="s">
        <v>18</v>
      </c>
      <c r="M25" s="23" t="s">
        <v>391</v>
      </c>
      <c r="N25" s="11"/>
    </row>
    <row r="26" spans="1:1023 1025:2047 2049:3071 3073:4095 4097:5119 5121:6143 6145:7167 7169:8191 8193:9215 9217:10239 10241:11263 11265:12287 12289:13311 13313:14335 14337:15359 15361:16383" ht="57" customHeight="1" x14ac:dyDescent="0.5">
      <c r="A26" s="95"/>
      <c r="B26" s="86"/>
      <c r="C26" s="96"/>
      <c r="D26" s="93"/>
      <c r="E26" s="4">
        <f t="shared" si="1"/>
        <v>5</v>
      </c>
      <c r="F26" s="23" t="s">
        <v>90</v>
      </c>
      <c r="G26" s="23" t="s">
        <v>392</v>
      </c>
      <c r="H26" s="23" t="s">
        <v>91</v>
      </c>
      <c r="I26" s="23" t="s">
        <v>92</v>
      </c>
      <c r="J26" s="34" t="s">
        <v>389</v>
      </c>
      <c r="K26" s="34"/>
      <c r="L26" s="23" t="s">
        <v>18</v>
      </c>
      <c r="M26" s="23" t="s">
        <v>391</v>
      </c>
    </row>
    <row r="27" spans="1:1023 1025:2047 2049:3071 3073:4095 4097:5119 5121:6143 6145:7167 7169:8191 8193:9215 9217:10239 10241:11263 11265:12287 12289:13311 13313:14335 14337:15359 15361:16383" ht="57" customHeight="1" x14ac:dyDescent="0.5">
      <c r="A27" s="95"/>
      <c r="B27" s="86"/>
      <c r="C27" s="96"/>
      <c r="D27" s="93"/>
      <c r="E27" s="4">
        <f t="shared" si="1"/>
        <v>6</v>
      </c>
      <c r="F27" s="23" t="s">
        <v>93</v>
      </c>
      <c r="G27" s="23" t="s">
        <v>390</v>
      </c>
      <c r="H27" s="23" t="s">
        <v>94</v>
      </c>
      <c r="I27" s="23" t="s">
        <v>95</v>
      </c>
      <c r="J27" s="34" t="s">
        <v>389</v>
      </c>
      <c r="K27" s="34"/>
      <c r="L27" s="23" t="s">
        <v>18</v>
      </c>
      <c r="M27" s="23" t="s">
        <v>391</v>
      </c>
    </row>
    <row r="28" spans="1:1023 1025:2047 2049:3071 3073:4095 4097:5119 5121:6143 6145:7167 7169:8191 8193:9215 9217:10239 10241:11263 11265:12287 12289:13311 13313:14335 14337:15359 15361:16383" ht="57" customHeight="1" x14ac:dyDescent="0.5">
      <c r="A28" s="95"/>
      <c r="B28" s="86"/>
      <c r="C28" s="96">
        <v>2</v>
      </c>
      <c r="D28" s="93" t="s">
        <v>96</v>
      </c>
      <c r="E28" s="4">
        <f t="shared" si="1"/>
        <v>7</v>
      </c>
      <c r="F28" s="23" t="s">
        <v>97</v>
      </c>
      <c r="G28" s="23" t="s">
        <v>98</v>
      </c>
      <c r="H28" s="23" t="s">
        <v>99</v>
      </c>
      <c r="I28" s="23" t="s">
        <v>100</v>
      </c>
      <c r="J28" s="34" t="s">
        <v>389</v>
      </c>
      <c r="K28" s="34"/>
      <c r="L28" s="23" t="s">
        <v>18</v>
      </c>
      <c r="M28" s="23" t="s">
        <v>391</v>
      </c>
    </row>
    <row r="29" spans="1:1023 1025:2047 2049:3071 3073:4095 4097:5119 5121:6143 6145:7167 7169:8191 8193:9215 9217:10239 10241:11263 11265:12287 12289:13311 13313:14335 14337:15359 15361:16383" ht="57" customHeight="1" x14ac:dyDescent="0.5">
      <c r="A29" s="95"/>
      <c r="B29" s="86"/>
      <c r="C29" s="96"/>
      <c r="D29" s="93"/>
      <c r="E29" s="4">
        <f t="shared" si="1"/>
        <v>8</v>
      </c>
      <c r="F29" s="23" t="s">
        <v>101</v>
      </c>
      <c r="G29" s="23" t="s">
        <v>102</v>
      </c>
      <c r="H29" s="23" t="s">
        <v>103</v>
      </c>
      <c r="I29" s="23" t="s">
        <v>104</v>
      </c>
      <c r="J29" s="34" t="s">
        <v>389</v>
      </c>
      <c r="K29" s="34"/>
      <c r="L29" s="23" t="s">
        <v>18</v>
      </c>
      <c r="M29" s="23" t="s">
        <v>391</v>
      </c>
    </row>
    <row r="30" spans="1:1023 1025:2047 2049:3071 3073:4095 4097:5119 5121:6143 6145:7167 7169:8191 8193:9215 9217:10239 10241:11263 11265:12287 12289:13311 13313:14335 14337:15359 15361:16383" ht="57" customHeight="1" x14ac:dyDescent="0.5">
      <c r="A30" s="95"/>
      <c r="B30" s="86"/>
      <c r="C30" s="96"/>
      <c r="D30" s="93"/>
      <c r="E30" s="4">
        <f t="shared" si="1"/>
        <v>9</v>
      </c>
      <c r="F30" s="23" t="s">
        <v>105</v>
      </c>
      <c r="G30" s="23" t="s">
        <v>106</v>
      </c>
      <c r="H30" s="23" t="s">
        <v>107</v>
      </c>
      <c r="I30" s="23" t="s">
        <v>108</v>
      </c>
      <c r="J30" s="34" t="s">
        <v>389</v>
      </c>
      <c r="K30" s="34"/>
      <c r="L30" s="23" t="s">
        <v>18</v>
      </c>
      <c r="M30" s="23" t="s">
        <v>391</v>
      </c>
    </row>
    <row r="31" spans="1:1023 1025:2047 2049:3071 3073:4095 4097:5119 5121:6143 6145:7167 7169:8191 8193:9215 9217:10239 10241:11263 11265:12287 12289:13311 13313:14335 14337:15359 15361:16383" ht="57" customHeight="1" x14ac:dyDescent="0.5">
      <c r="A31" s="95"/>
      <c r="B31" s="86"/>
      <c r="C31" s="96">
        <v>3</v>
      </c>
      <c r="D31" s="93" t="s">
        <v>109</v>
      </c>
      <c r="E31" s="4">
        <f t="shared" si="1"/>
        <v>10</v>
      </c>
      <c r="F31" s="23" t="s">
        <v>110</v>
      </c>
      <c r="G31" s="23" t="s">
        <v>111</v>
      </c>
      <c r="H31" s="23" t="s">
        <v>112</v>
      </c>
      <c r="I31" s="23" t="s">
        <v>113</v>
      </c>
      <c r="J31" s="72" t="s">
        <v>389</v>
      </c>
      <c r="K31" s="34"/>
      <c r="L31" s="23" t="s">
        <v>32</v>
      </c>
      <c r="M31" s="23" t="s">
        <v>391</v>
      </c>
    </row>
    <row r="32" spans="1:1023 1025:2047 2049:3071 3073:4095 4097:5119 5121:6143 6145:7167 7169:8191 8193:9215 9217:10239 10241:11263 11265:12287 12289:13311 13313:14335 14337:15359 15361:16383" ht="57" customHeight="1" x14ac:dyDescent="0.5">
      <c r="A32" s="95"/>
      <c r="B32" s="86"/>
      <c r="C32" s="96"/>
      <c r="D32" s="93"/>
      <c r="E32" s="4">
        <f t="shared" si="1"/>
        <v>11</v>
      </c>
      <c r="F32" s="23" t="s">
        <v>114</v>
      </c>
      <c r="G32" s="23" t="s">
        <v>115</v>
      </c>
      <c r="H32" s="23" t="s">
        <v>116</v>
      </c>
      <c r="I32" s="23" t="s">
        <v>117</v>
      </c>
      <c r="J32" s="34" t="s">
        <v>389</v>
      </c>
      <c r="K32" s="34"/>
      <c r="L32" s="23" t="s">
        <v>18</v>
      </c>
      <c r="M32" s="23" t="s">
        <v>391</v>
      </c>
    </row>
    <row r="33" spans="1:23" ht="57" customHeight="1" x14ac:dyDescent="0.5">
      <c r="A33" s="95"/>
      <c r="B33" s="86"/>
      <c r="C33" s="96"/>
      <c r="D33" s="93"/>
      <c r="E33" s="4">
        <f t="shared" si="1"/>
        <v>12</v>
      </c>
      <c r="F33" s="23" t="s">
        <v>119</v>
      </c>
      <c r="G33" s="23" t="s">
        <v>120</v>
      </c>
      <c r="H33" s="23" t="s">
        <v>121</v>
      </c>
      <c r="I33" s="23" t="s">
        <v>122</v>
      </c>
      <c r="J33" s="34"/>
      <c r="K33" s="34"/>
      <c r="L33" s="23" t="s">
        <v>18</v>
      </c>
      <c r="M33" s="23" t="s">
        <v>391</v>
      </c>
    </row>
    <row r="34" spans="1:23" ht="57" customHeight="1" x14ac:dyDescent="0.5">
      <c r="A34" s="95"/>
      <c r="B34" s="86"/>
      <c r="C34" s="96">
        <v>4</v>
      </c>
      <c r="D34" s="97" t="s">
        <v>123</v>
      </c>
      <c r="E34" s="4">
        <f t="shared" si="1"/>
        <v>13</v>
      </c>
      <c r="F34" s="23" t="s">
        <v>124</v>
      </c>
      <c r="G34" s="23" t="s">
        <v>125</v>
      </c>
      <c r="H34" s="23" t="s">
        <v>126</v>
      </c>
      <c r="I34" s="23" t="s">
        <v>127</v>
      </c>
      <c r="J34" s="34"/>
      <c r="K34" s="34"/>
      <c r="L34" s="23" t="s">
        <v>128</v>
      </c>
      <c r="M34" s="23" t="s">
        <v>129</v>
      </c>
    </row>
    <row r="35" spans="1:23" ht="57" customHeight="1" x14ac:dyDescent="0.5">
      <c r="A35" s="95"/>
      <c r="B35" s="86"/>
      <c r="C35" s="96"/>
      <c r="D35" s="97"/>
      <c r="E35" s="4">
        <f t="shared" si="1"/>
        <v>14</v>
      </c>
      <c r="F35" s="23" t="s">
        <v>130</v>
      </c>
      <c r="G35" s="23" t="s">
        <v>131</v>
      </c>
      <c r="H35" s="23" t="s">
        <v>132</v>
      </c>
      <c r="I35" s="23" t="s">
        <v>133</v>
      </c>
      <c r="J35" s="34"/>
      <c r="K35" s="34"/>
      <c r="L35" s="23" t="s">
        <v>128</v>
      </c>
      <c r="M35" s="23" t="s">
        <v>129</v>
      </c>
    </row>
    <row r="36" spans="1:23" ht="57" customHeight="1" x14ac:dyDescent="0.5">
      <c r="A36" s="95"/>
      <c r="B36" s="86"/>
      <c r="C36" s="96"/>
      <c r="D36" s="97"/>
      <c r="E36" s="4">
        <f t="shared" si="1"/>
        <v>15</v>
      </c>
      <c r="F36" s="23" t="s">
        <v>134</v>
      </c>
      <c r="G36" s="23" t="s">
        <v>135</v>
      </c>
      <c r="H36" s="23" t="s">
        <v>136</v>
      </c>
      <c r="I36" s="23" t="s">
        <v>137</v>
      </c>
      <c r="J36" s="34"/>
      <c r="K36" s="34"/>
      <c r="L36" s="23" t="s">
        <v>128</v>
      </c>
      <c r="M36" s="23" t="s">
        <v>129</v>
      </c>
    </row>
    <row r="37" spans="1:23" ht="57" customHeight="1" x14ac:dyDescent="0.5">
      <c r="A37" s="95"/>
      <c r="B37" s="86"/>
      <c r="C37" s="96"/>
      <c r="D37" s="97"/>
      <c r="E37" s="4">
        <f t="shared" si="1"/>
        <v>16</v>
      </c>
      <c r="F37" s="23" t="s">
        <v>138</v>
      </c>
      <c r="G37" s="23" t="s">
        <v>139</v>
      </c>
      <c r="H37" s="23" t="s">
        <v>140</v>
      </c>
      <c r="I37" s="23" t="s">
        <v>141</v>
      </c>
      <c r="J37" s="34"/>
      <c r="K37" s="34"/>
      <c r="L37" s="23" t="s">
        <v>128</v>
      </c>
      <c r="M37" s="23" t="s">
        <v>129</v>
      </c>
    </row>
    <row r="38" spans="1:23" ht="57" customHeight="1" x14ac:dyDescent="0.5">
      <c r="A38" s="95"/>
      <c r="B38" s="86"/>
      <c r="C38" s="96"/>
      <c r="D38" s="97"/>
      <c r="E38" s="4">
        <f t="shared" si="1"/>
        <v>17</v>
      </c>
      <c r="F38" s="23" t="s">
        <v>142</v>
      </c>
      <c r="G38" s="23" t="s">
        <v>143</v>
      </c>
      <c r="H38" s="23" t="s">
        <v>144</v>
      </c>
      <c r="I38" s="23" t="s">
        <v>145</v>
      </c>
      <c r="J38" s="34"/>
      <c r="K38" s="34"/>
      <c r="L38" s="23" t="s">
        <v>32</v>
      </c>
      <c r="M38" s="23" t="s">
        <v>129</v>
      </c>
    </row>
    <row r="39" spans="1:23" ht="57" customHeight="1" x14ac:dyDescent="0.5">
      <c r="A39" s="95"/>
      <c r="B39" s="86"/>
      <c r="C39" s="96"/>
      <c r="D39" s="97"/>
      <c r="E39" s="4">
        <f t="shared" si="1"/>
        <v>18</v>
      </c>
      <c r="F39" s="23" t="s">
        <v>146</v>
      </c>
      <c r="G39" s="23" t="s">
        <v>147</v>
      </c>
      <c r="H39" s="23" t="s">
        <v>148</v>
      </c>
      <c r="I39" s="23" t="s">
        <v>149</v>
      </c>
      <c r="J39" s="34"/>
      <c r="K39" s="34"/>
      <c r="L39" s="23" t="s">
        <v>128</v>
      </c>
      <c r="M39" s="23" t="s">
        <v>150</v>
      </c>
    </row>
    <row r="40" spans="1:23" ht="57" customHeight="1" x14ac:dyDescent="0.5">
      <c r="A40" s="95"/>
      <c r="B40" s="86"/>
      <c r="C40" s="75"/>
      <c r="D40" s="76" t="s">
        <v>155</v>
      </c>
      <c r="E40" s="4">
        <f t="shared" si="1"/>
        <v>19</v>
      </c>
      <c r="F40" s="23" t="s">
        <v>156</v>
      </c>
      <c r="G40" s="23" t="s">
        <v>157</v>
      </c>
      <c r="H40" s="23" t="s">
        <v>158</v>
      </c>
      <c r="I40" s="23" t="s">
        <v>159</v>
      </c>
      <c r="J40" s="34"/>
      <c r="K40" s="34"/>
      <c r="L40" s="23" t="s">
        <v>32</v>
      </c>
      <c r="M40" s="23" t="s">
        <v>160</v>
      </c>
      <c r="P40" s="2"/>
      <c r="Q40" s="2"/>
      <c r="V40" s="2"/>
      <c r="W40" s="2"/>
    </row>
    <row r="41" spans="1:23" s="73" customFormat="1" ht="57" customHeight="1" x14ac:dyDescent="0.7">
      <c r="A41" s="12"/>
      <c r="B41" s="13"/>
      <c r="C41" s="35"/>
      <c r="D41" s="36"/>
      <c r="E41" s="74"/>
      <c r="F41" s="23"/>
      <c r="G41" s="23"/>
      <c r="H41" s="23"/>
      <c r="I41" s="23"/>
      <c r="J41" s="34"/>
      <c r="K41" s="34"/>
      <c r="L41" s="23"/>
      <c r="M41" s="23"/>
      <c r="P41" s="62"/>
      <c r="Q41" s="62"/>
      <c r="V41" s="62"/>
      <c r="W41" s="62"/>
    </row>
    <row r="42" spans="1:23" ht="57" customHeight="1" x14ac:dyDescent="0.3">
      <c r="A42" s="12"/>
      <c r="B42" s="13"/>
      <c r="C42" s="14"/>
      <c r="H42" s="15"/>
      <c r="P42" s="2"/>
      <c r="Q42" s="2"/>
      <c r="V42" s="2"/>
      <c r="W42" s="2"/>
    </row>
    <row r="43" spans="1:23" ht="57" customHeight="1" x14ac:dyDescent="0.3">
      <c r="A43" s="12"/>
      <c r="B43" s="13"/>
      <c r="C43" s="14"/>
      <c r="H43" s="15"/>
      <c r="P43" s="2"/>
      <c r="Q43" s="2"/>
      <c r="V43" s="2"/>
      <c r="W43" s="2"/>
    </row>
    <row r="44" spans="1:23" ht="57" customHeight="1" x14ac:dyDescent="0.3">
      <c r="A44" s="12"/>
      <c r="B44" s="13"/>
      <c r="C44" s="14"/>
      <c r="H44" s="15"/>
      <c r="P44" s="2"/>
      <c r="Q44" s="2"/>
      <c r="V44" s="2"/>
      <c r="W44" s="2"/>
    </row>
    <row r="45" spans="1:23" ht="57" customHeight="1" x14ac:dyDescent="0.3">
      <c r="A45" s="12"/>
      <c r="B45" s="13"/>
      <c r="C45" s="14"/>
      <c r="H45" s="15"/>
      <c r="P45" s="2"/>
      <c r="Q45" s="2"/>
      <c r="V45" s="2"/>
      <c r="W45" s="2"/>
    </row>
    <row r="46" spans="1:23" ht="57" customHeight="1" x14ac:dyDescent="0.3">
      <c r="A46" s="12"/>
      <c r="B46" s="13"/>
      <c r="C46" s="14"/>
      <c r="H46" s="15"/>
      <c r="P46" s="2"/>
      <c r="Q46" s="2"/>
      <c r="V46" s="2"/>
      <c r="W46" s="2"/>
    </row>
    <row r="47" spans="1:23" ht="57" customHeight="1" x14ac:dyDescent="0.3">
      <c r="A47" s="12"/>
      <c r="B47" s="13"/>
      <c r="C47" s="14"/>
      <c r="H47" s="15"/>
    </row>
    <row r="48" spans="1:23" ht="57" customHeight="1" x14ac:dyDescent="0.3">
      <c r="A48" s="12"/>
      <c r="B48" s="13"/>
      <c r="C48" s="14"/>
      <c r="H48" s="15"/>
    </row>
    <row r="49" spans="1:8" ht="57" customHeight="1" x14ac:dyDescent="0.3">
      <c r="A49" s="12"/>
      <c r="B49" s="13"/>
      <c r="C49" s="14"/>
      <c r="H49" s="15"/>
    </row>
    <row r="50" spans="1:8" ht="57" customHeight="1" x14ac:dyDescent="0.3">
      <c r="A50" s="12"/>
      <c r="B50" s="13"/>
      <c r="C50" s="14"/>
      <c r="H50" s="15"/>
    </row>
    <row r="51" spans="1:8" ht="57" customHeight="1" x14ac:dyDescent="0.3">
      <c r="A51" s="12"/>
      <c r="B51" s="13"/>
      <c r="C51" s="14"/>
      <c r="H51" s="15"/>
    </row>
    <row r="52" spans="1:8" ht="57" customHeight="1" x14ac:dyDescent="0.3">
      <c r="A52" s="12"/>
      <c r="B52" s="13"/>
      <c r="C52" s="14"/>
      <c r="H52" s="15"/>
    </row>
    <row r="53" spans="1:8" ht="57" customHeight="1" x14ac:dyDescent="0.3">
      <c r="A53" s="12"/>
      <c r="B53" s="13"/>
      <c r="C53" s="14"/>
      <c r="H53" s="15"/>
    </row>
    <row r="54" spans="1:8" ht="57" customHeight="1" x14ac:dyDescent="0.3">
      <c r="A54" s="12"/>
      <c r="B54" s="13"/>
      <c r="C54" s="14"/>
      <c r="H54" s="15"/>
    </row>
    <row r="55" spans="1:8" ht="57" customHeight="1" x14ac:dyDescent="0.3">
      <c r="A55" s="12"/>
      <c r="B55" s="13"/>
      <c r="C55" s="14"/>
      <c r="H55" s="15"/>
    </row>
    <row r="56" spans="1:8" ht="57" customHeight="1" x14ac:dyDescent="0.3">
      <c r="A56" s="12"/>
      <c r="B56" s="13"/>
      <c r="C56" s="14"/>
      <c r="H56" s="15"/>
    </row>
    <row r="57" spans="1:8" ht="57" customHeight="1" x14ac:dyDescent="0.3">
      <c r="A57" s="12"/>
      <c r="B57" s="13"/>
      <c r="C57" s="14"/>
      <c r="H57" s="15"/>
    </row>
    <row r="58" spans="1:8" ht="57" customHeight="1" x14ac:dyDescent="0.3">
      <c r="A58" s="12"/>
      <c r="B58" s="13"/>
      <c r="C58" s="14"/>
      <c r="H58" s="15"/>
    </row>
    <row r="59" spans="1:8" ht="57" customHeight="1" x14ac:dyDescent="0.3">
      <c r="A59" s="12"/>
      <c r="B59" s="13"/>
      <c r="C59" s="14"/>
      <c r="H59" s="15"/>
    </row>
    <row r="60" spans="1:8" ht="57" customHeight="1" x14ac:dyDescent="0.3">
      <c r="A60" s="12"/>
      <c r="B60" s="13"/>
      <c r="C60" s="14"/>
      <c r="H60" s="15"/>
    </row>
    <row r="61" spans="1:8" ht="57" customHeight="1" x14ac:dyDescent="0.3">
      <c r="A61" s="12"/>
      <c r="B61" s="13"/>
      <c r="C61" s="14"/>
      <c r="H61" s="15"/>
    </row>
    <row r="62" spans="1:8" ht="57" customHeight="1" x14ac:dyDescent="0.3">
      <c r="A62" s="12"/>
      <c r="B62" s="13"/>
      <c r="C62" s="14"/>
      <c r="H62" s="15"/>
    </row>
    <row r="63" spans="1:8" ht="57" customHeight="1" x14ac:dyDescent="0.3">
      <c r="A63" s="12"/>
      <c r="B63" s="13"/>
      <c r="C63" s="14"/>
      <c r="H63" s="15"/>
    </row>
    <row r="64" spans="1:8" ht="57" customHeight="1" x14ac:dyDescent="0.3">
      <c r="A64" s="12"/>
      <c r="B64" s="13"/>
      <c r="C64" s="14"/>
      <c r="H64" s="15"/>
    </row>
    <row r="65" spans="1:8" ht="57" customHeight="1" x14ac:dyDescent="0.3">
      <c r="A65" s="12"/>
      <c r="B65" s="13"/>
      <c r="C65" s="14"/>
      <c r="H65" s="15"/>
    </row>
    <row r="66" spans="1:8" ht="57" customHeight="1" x14ac:dyDescent="0.3">
      <c r="A66" s="12"/>
      <c r="B66" s="13"/>
      <c r="C66" s="14"/>
      <c r="H66" s="15"/>
    </row>
    <row r="67" spans="1:8" ht="57" customHeight="1" x14ac:dyDescent="0.3">
      <c r="A67" s="12"/>
      <c r="B67" s="13"/>
      <c r="C67" s="14"/>
      <c r="H67" s="15"/>
    </row>
    <row r="68" spans="1:8" ht="57" customHeight="1" x14ac:dyDescent="0.3">
      <c r="A68" s="12"/>
      <c r="B68" s="13"/>
      <c r="C68" s="14"/>
      <c r="H68" s="15"/>
    </row>
    <row r="69" spans="1:8" ht="57" customHeight="1" x14ac:dyDescent="0.3">
      <c r="A69" s="12"/>
      <c r="B69" s="13"/>
      <c r="C69" s="14"/>
      <c r="H69" s="15"/>
    </row>
    <row r="70" spans="1:8" ht="57" customHeight="1" x14ac:dyDescent="0.3">
      <c r="A70" s="12"/>
      <c r="B70" s="13"/>
      <c r="C70" s="14"/>
      <c r="H70" s="15"/>
    </row>
    <row r="71" spans="1:8" ht="57" customHeight="1" x14ac:dyDescent="0.3">
      <c r="A71" s="12"/>
      <c r="B71" s="13"/>
      <c r="C71" s="14"/>
      <c r="H71" s="15"/>
    </row>
    <row r="72" spans="1:8" ht="57" customHeight="1" x14ac:dyDescent="0.3">
      <c r="A72" s="12"/>
      <c r="B72" s="13"/>
      <c r="C72" s="14"/>
      <c r="H72" s="15"/>
    </row>
    <row r="73" spans="1:8" ht="57" customHeight="1" x14ac:dyDescent="0.3">
      <c r="A73" s="12"/>
      <c r="B73" s="13"/>
      <c r="C73" s="14"/>
      <c r="H73" s="15"/>
    </row>
    <row r="74" spans="1:8" ht="57" customHeight="1" x14ac:dyDescent="0.3">
      <c r="A74" s="12"/>
      <c r="B74" s="13"/>
      <c r="C74" s="14"/>
      <c r="H74" s="15"/>
    </row>
    <row r="75" spans="1:8" ht="57" customHeight="1" x14ac:dyDescent="0.3">
      <c r="A75" s="12"/>
      <c r="B75" s="13"/>
      <c r="C75" s="14"/>
      <c r="H75" s="15"/>
    </row>
    <row r="76" spans="1:8" ht="57" customHeight="1" x14ac:dyDescent="0.3">
      <c r="A76" s="12"/>
      <c r="B76" s="13"/>
      <c r="C76" s="14"/>
      <c r="H76" s="15"/>
    </row>
    <row r="77" spans="1:8" ht="57" customHeight="1" x14ac:dyDescent="0.3">
      <c r="A77" s="12"/>
      <c r="B77" s="13"/>
      <c r="C77" s="14"/>
      <c r="H77" s="15"/>
    </row>
    <row r="78" spans="1:8" ht="57" customHeight="1" x14ac:dyDescent="0.3">
      <c r="A78" s="12"/>
      <c r="B78" s="13"/>
      <c r="C78" s="14"/>
      <c r="H78" s="15"/>
    </row>
    <row r="79" spans="1:8" ht="57" customHeight="1" x14ac:dyDescent="0.3">
      <c r="A79" s="12"/>
      <c r="B79" s="13"/>
      <c r="C79" s="14"/>
      <c r="H79" s="15"/>
    </row>
    <row r="80" spans="1:8" ht="57" customHeight="1" x14ac:dyDescent="0.3">
      <c r="A80" s="12"/>
      <c r="B80" s="13"/>
      <c r="C80" s="14"/>
      <c r="H80" s="15"/>
    </row>
    <row r="81" spans="1:8" ht="57" customHeight="1" x14ac:dyDescent="0.3">
      <c r="A81" s="12"/>
      <c r="B81" s="13"/>
      <c r="C81" s="37"/>
      <c r="D81" s="38"/>
      <c r="E81" s="22"/>
      <c r="F81" s="22"/>
      <c r="G81" s="22"/>
      <c r="H81" s="15"/>
    </row>
    <row r="82" spans="1:8" ht="57" customHeight="1" x14ac:dyDescent="0.3">
      <c r="A82" s="12"/>
      <c r="B82" s="13"/>
      <c r="C82" s="37"/>
      <c r="D82" s="38"/>
      <c r="E82" s="22"/>
      <c r="F82" s="22"/>
      <c r="G82" s="22"/>
      <c r="H82" s="15"/>
    </row>
    <row r="83" spans="1:8" ht="57" customHeight="1" x14ac:dyDescent="0.3">
      <c r="A83" s="12"/>
      <c r="B83" s="13"/>
      <c r="C83" s="37"/>
      <c r="D83" s="38"/>
      <c r="E83" s="22"/>
      <c r="F83" s="22"/>
      <c r="G83" s="22"/>
      <c r="H83" s="15"/>
    </row>
    <row r="84" spans="1:8" ht="57" customHeight="1" x14ac:dyDescent="0.3">
      <c r="A84" s="12"/>
      <c r="B84" s="13"/>
      <c r="C84" s="37"/>
      <c r="D84" s="38"/>
      <c r="E84" s="22"/>
      <c r="F84" s="22"/>
      <c r="G84" s="22"/>
      <c r="H84" s="15"/>
    </row>
    <row r="85" spans="1:8" ht="57" customHeight="1" x14ac:dyDescent="0.3">
      <c r="A85" s="12"/>
      <c r="B85" s="13"/>
      <c r="C85" s="37"/>
      <c r="D85" s="38"/>
      <c r="E85" s="22"/>
      <c r="F85" s="22"/>
      <c r="G85" s="22"/>
      <c r="H85" s="15"/>
    </row>
    <row r="86" spans="1:8" ht="57" customHeight="1" x14ac:dyDescent="0.3">
      <c r="A86" s="12"/>
      <c r="B86" s="13"/>
      <c r="C86" s="37"/>
      <c r="D86" s="38"/>
      <c r="E86" s="22"/>
      <c r="F86" s="22"/>
      <c r="G86" s="22"/>
      <c r="H86" s="15"/>
    </row>
    <row r="87" spans="1:8" ht="82.5" customHeight="1" x14ac:dyDescent="0.3">
      <c r="A87" s="12"/>
      <c r="B87" s="13"/>
      <c r="C87" s="37"/>
      <c r="D87" s="38"/>
      <c r="E87" s="22"/>
      <c r="F87" s="22"/>
      <c r="G87" s="22"/>
      <c r="H87" s="15"/>
    </row>
    <row r="88" spans="1:8" ht="57" customHeight="1" x14ac:dyDescent="0.3">
      <c r="A88" s="12"/>
      <c r="B88" s="13"/>
      <c r="C88" s="37"/>
      <c r="D88" s="38"/>
      <c r="E88" s="22"/>
      <c r="F88" s="22"/>
      <c r="G88" s="22"/>
      <c r="H88" s="15"/>
    </row>
    <row r="89" spans="1:8" ht="57" customHeight="1" x14ac:dyDescent="0.3">
      <c r="A89" s="12"/>
      <c r="B89" s="13"/>
      <c r="C89" s="37"/>
      <c r="D89" s="38"/>
      <c r="E89" s="22"/>
      <c r="F89" s="22"/>
      <c r="G89" s="22"/>
      <c r="H89" s="15"/>
    </row>
    <row r="90" spans="1:8" ht="57" customHeight="1" x14ac:dyDescent="0.3">
      <c r="A90" s="12"/>
      <c r="B90" s="13"/>
      <c r="C90" s="37"/>
      <c r="D90" s="38"/>
      <c r="E90" s="22"/>
      <c r="F90" s="22"/>
      <c r="G90" s="22"/>
      <c r="H90" s="15"/>
    </row>
    <row r="91" spans="1:8" ht="57" customHeight="1" x14ac:dyDescent="0.3">
      <c r="A91" s="12"/>
      <c r="B91" s="13"/>
      <c r="C91" s="37"/>
      <c r="D91" s="38"/>
      <c r="E91" s="22"/>
      <c r="F91" s="22"/>
      <c r="G91" s="22"/>
      <c r="H91" s="15"/>
    </row>
    <row r="92" spans="1:8" ht="57" customHeight="1" x14ac:dyDescent="0.3">
      <c r="A92" s="12"/>
      <c r="B92" s="13"/>
      <c r="C92" s="37"/>
      <c r="D92" s="38"/>
      <c r="E92" s="22"/>
      <c r="F92" s="22"/>
      <c r="G92" s="22"/>
      <c r="H92" s="15"/>
    </row>
    <row r="93" spans="1:8" ht="57" customHeight="1" x14ac:dyDescent="0.3">
      <c r="A93" s="12"/>
      <c r="B93" s="13"/>
      <c r="C93" s="37"/>
      <c r="D93" s="38"/>
      <c r="E93" s="22"/>
      <c r="F93" s="22"/>
      <c r="G93" s="22"/>
      <c r="H93" s="15"/>
    </row>
    <row r="94" spans="1:8" ht="57" customHeight="1" x14ac:dyDescent="0.3">
      <c r="A94" s="12"/>
      <c r="B94" s="13"/>
      <c r="C94" s="37"/>
      <c r="D94" s="38"/>
      <c r="E94" s="22"/>
      <c r="F94" s="22"/>
      <c r="G94" s="22"/>
      <c r="H94" s="15"/>
    </row>
    <row r="95" spans="1:8" ht="57" customHeight="1" x14ac:dyDescent="0.3">
      <c r="A95" s="12"/>
      <c r="B95" s="13"/>
      <c r="C95" s="37"/>
      <c r="D95" s="38"/>
      <c r="E95" s="22"/>
      <c r="F95" s="22"/>
      <c r="G95" s="22"/>
      <c r="H95" s="15"/>
    </row>
    <row r="96" spans="1:8" ht="57" customHeight="1" x14ac:dyDescent="0.3">
      <c r="A96" s="85"/>
      <c r="B96" s="86"/>
      <c r="C96" s="4"/>
      <c r="D96" s="38"/>
      <c r="E96" s="22"/>
      <c r="F96" s="22"/>
      <c r="G96" s="22"/>
    </row>
    <row r="97" spans="1:7" ht="57" customHeight="1" x14ac:dyDescent="0.3">
      <c r="A97" s="85"/>
      <c r="B97" s="86"/>
      <c r="C97" s="4"/>
      <c r="D97" s="38"/>
      <c r="E97" s="22"/>
      <c r="F97" s="22"/>
      <c r="G97" s="22"/>
    </row>
    <row r="98" spans="1:7" ht="57" customHeight="1" x14ac:dyDescent="0.3">
      <c r="A98" s="85"/>
      <c r="B98" s="86"/>
      <c r="C98" s="4"/>
      <c r="D98" s="38"/>
      <c r="E98" s="22"/>
      <c r="F98" s="22"/>
      <c r="G98" s="22"/>
    </row>
    <row r="99" spans="1:7" ht="57" customHeight="1" x14ac:dyDescent="0.3">
      <c r="A99" s="85"/>
      <c r="B99" s="86"/>
      <c r="C99" s="4"/>
      <c r="D99" s="38"/>
      <c r="E99" s="22"/>
      <c r="F99" s="22"/>
      <c r="G99" s="22"/>
    </row>
    <row r="100" spans="1:7" ht="57" customHeight="1" x14ac:dyDescent="0.3">
      <c r="A100" s="85"/>
      <c r="B100" s="86"/>
      <c r="C100" s="4"/>
      <c r="D100" s="38"/>
      <c r="E100" s="22"/>
      <c r="F100" s="22"/>
      <c r="G100" s="22"/>
    </row>
    <row r="101" spans="1:7" ht="57" customHeight="1" x14ac:dyDescent="0.3">
      <c r="A101" s="85"/>
      <c r="B101" s="86"/>
      <c r="C101" s="4"/>
      <c r="D101" s="38"/>
      <c r="E101" s="22"/>
      <c r="F101" s="22"/>
      <c r="G101" s="22"/>
    </row>
    <row r="102" spans="1:7" ht="57" customHeight="1" x14ac:dyDescent="0.3">
      <c r="A102" s="85"/>
      <c r="B102" s="86"/>
      <c r="C102" s="4"/>
      <c r="D102" s="38"/>
      <c r="E102" s="22"/>
      <c r="F102" s="22"/>
      <c r="G102" s="22"/>
    </row>
    <row r="103" spans="1:7" ht="57" customHeight="1" x14ac:dyDescent="0.3">
      <c r="A103" s="85"/>
      <c r="B103" s="86"/>
      <c r="C103" s="4"/>
      <c r="D103" s="38"/>
      <c r="E103" s="22"/>
      <c r="F103" s="22"/>
      <c r="G103" s="22"/>
    </row>
    <row r="104" spans="1:7" ht="57" customHeight="1" x14ac:dyDescent="0.3">
      <c r="A104" s="85"/>
      <c r="B104" s="86"/>
      <c r="C104" s="4"/>
      <c r="D104" s="38"/>
      <c r="E104" s="22"/>
      <c r="F104" s="22"/>
      <c r="G104" s="22"/>
    </row>
    <row r="105" spans="1:7" ht="57" customHeight="1" x14ac:dyDescent="0.3">
      <c r="A105" s="85"/>
      <c r="B105" s="86"/>
      <c r="C105" s="4"/>
      <c r="D105" s="38"/>
      <c r="E105" s="22"/>
      <c r="F105" s="22"/>
      <c r="G105" s="22"/>
    </row>
    <row r="106" spans="1:7" ht="57" customHeight="1" x14ac:dyDescent="0.3">
      <c r="A106" s="85"/>
      <c r="B106" s="86"/>
      <c r="C106" s="4"/>
      <c r="D106" s="38"/>
      <c r="E106" s="22"/>
      <c r="F106" s="22"/>
      <c r="G106" s="22"/>
    </row>
    <row r="107" spans="1:7" ht="57" customHeight="1" x14ac:dyDescent="0.3">
      <c r="A107" s="85"/>
      <c r="B107" s="86"/>
      <c r="C107" s="4"/>
      <c r="D107" s="38"/>
      <c r="E107" s="22"/>
      <c r="F107" s="22"/>
      <c r="G107" s="22"/>
    </row>
    <row r="108" spans="1:7" ht="57" customHeight="1" x14ac:dyDescent="0.3">
      <c r="A108" s="85"/>
      <c r="B108" s="86"/>
      <c r="C108" s="4"/>
      <c r="D108" s="38"/>
      <c r="E108" s="22"/>
      <c r="F108" s="22"/>
      <c r="G108" s="22"/>
    </row>
    <row r="109" spans="1:7" ht="57" customHeight="1" x14ac:dyDescent="0.3">
      <c r="A109" s="85"/>
      <c r="B109" s="86"/>
      <c r="C109" s="4"/>
      <c r="D109" s="38"/>
      <c r="E109" s="22"/>
      <c r="F109" s="22"/>
      <c r="G109" s="22"/>
    </row>
    <row r="110" spans="1:7" ht="57" customHeight="1" x14ac:dyDescent="0.3">
      <c r="A110" s="85"/>
      <c r="B110" s="86"/>
      <c r="C110" s="4"/>
      <c r="D110" s="38"/>
      <c r="E110" s="22"/>
      <c r="F110" s="22"/>
      <c r="G110" s="22"/>
    </row>
    <row r="111" spans="1:7" ht="57" customHeight="1" x14ac:dyDescent="0.3">
      <c r="A111" s="85"/>
      <c r="B111" s="86"/>
      <c r="C111" s="4"/>
      <c r="D111" s="38"/>
      <c r="E111" s="22"/>
      <c r="F111" s="22"/>
      <c r="G111" s="22"/>
    </row>
    <row r="112" spans="1:7" ht="57" customHeight="1" x14ac:dyDescent="0.3">
      <c r="A112" s="85"/>
      <c r="B112" s="86"/>
      <c r="C112" s="4"/>
      <c r="E112" s="22"/>
      <c r="F112" s="22"/>
      <c r="G112" s="22"/>
    </row>
    <row r="113" spans="1:7" ht="57" customHeight="1" x14ac:dyDescent="0.3">
      <c r="A113" s="85"/>
      <c r="B113" s="86"/>
      <c r="C113" s="94"/>
      <c r="D113" s="93"/>
      <c r="E113" s="22"/>
      <c r="F113" s="22"/>
      <c r="G113" s="22"/>
    </row>
    <row r="114" spans="1:7" ht="57" customHeight="1" x14ac:dyDescent="0.3">
      <c r="A114" s="85"/>
      <c r="B114" s="86"/>
      <c r="C114" s="94"/>
      <c r="D114" s="93"/>
      <c r="E114" s="22"/>
      <c r="F114" s="22"/>
      <c r="G114" s="22"/>
    </row>
    <row r="115" spans="1:7" ht="57" customHeight="1" x14ac:dyDescent="0.3">
      <c r="A115" s="85"/>
      <c r="B115" s="86"/>
      <c r="C115" s="4"/>
      <c r="E115" s="22"/>
      <c r="F115" s="22"/>
      <c r="G115" s="22"/>
    </row>
    <row r="116" spans="1:7" ht="57" customHeight="1" x14ac:dyDescent="0.3">
      <c r="A116" s="85"/>
      <c r="B116" s="86"/>
      <c r="C116" s="94"/>
      <c r="D116" s="93"/>
      <c r="E116" s="22"/>
      <c r="F116" s="22"/>
      <c r="G116" s="22"/>
    </row>
    <row r="117" spans="1:7" ht="57" customHeight="1" x14ac:dyDescent="0.3">
      <c r="A117" s="85"/>
      <c r="B117" s="86"/>
      <c r="C117" s="94"/>
      <c r="D117" s="93"/>
      <c r="E117" s="22"/>
      <c r="F117" s="22"/>
      <c r="G117" s="22"/>
    </row>
    <row r="118" spans="1:7" ht="57" customHeight="1" x14ac:dyDescent="0.3">
      <c r="A118" s="85"/>
      <c r="B118" s="86"/>
      <c r="C118" s="94"/>
      <c r="D118" s="93"/>
      <c r="E118" s="22"/>
      <c r="F118" s="22"/>
      <c r="G118" s="22"/>
    </row>
    <row r="119" spans="1:7" ht="57" customHeight="1" x14ac:dyDescent="0.3">
      <c r="A119" s="85"/>
      <c r="B119" s="86"/>
      <c r="C119" s="94"/>
      <c r="D119" s="93"/>
      <c r="E119" s="22"/>
      <c r="F119" s="22"/>
      <c r="G119" s="22"/>
    </row>
    <row r="120" spans="1:7" ht="57" customHeight="1" x14ac:dyDescent="0.3">
      <c r="A120" s="85"/>
      <c r="B120" s="86"/>
      <c r="C120" s="94"/>
      <c r="D120" s="93"/>
      <c r="E120" s="22"/>
      <c r="F120" s="22"/>
      <c r="G120" s="22"/>
    </row>
    <row r="121" spans="1:7" ht="57" customHeight="1" x14ac:dyDescent="0.3">
      <c r="A121" s="85"/>
      <c r="B121" s="86"/>
      <c r="C121" s="94"/>
      <c r="D121" s="93"/>
      <c r="E121" s="22"/>
      <c r="F121" s="22"/>
      <c r="G121" s="22"/>
    </row>
    <row r="122" spans="1:7" ht="57" customHeight="1" x14ac:dyDescent="0.3">
      <c r="A122" s="85"/>
      <c r="B122" s="86"/>
      <c r="C122" s="94"/>
      <c r="D122" s="93"/>
      <c r="E122" s="22"/>
      <c r="F122" s="22"/>
      <c r="G122" s="22"/>
    </row>
    <row r="123" spans="1:7" ht="57" customHeight="1" x14ac:dyDescent="0.3">
      <c r="A123" s="85"/>
      <c r="B123" s="86"/>
      <c r="C123" s="94"/>
      <c r="D123" s="93"/>
      <c r="E123" s="22"/>
      <c r="F123" s="22"/>
      <c r="G123" s="22"/>
    </row>
    <row r="124" spans="1:7" ht="57" customHeight="1" x14ac:dyDescent="0.3">
      <c r="A124" s="85"/>
      <c r="B124" s="86"/>
      <c r="C124" s="94"/>
      <c r="D124" s="93"/>
      <c r="E124" s="22"/>
      <c r="F124" s="22"/>
      <c r="G124" s="22"/>
    </row>
    <row r="125" spans="1:7" ht="57" customHeight="1" x14ac:dyDescent="0.3">
      <c r="A125" s="85"/>
      <c r="B125" s="86"/>
      <c r="C125" s="94"/>
      <c r="D125" s="93"/>
      <c r="E125" s="22"/>
      <c r="F125" s="22"/>
      <c r="G125" s="22"/>
    </row>
    <row r="126" spans="1:7" ht="57" customHeight="1" x14ac:dyDescent="0.3">
      <c r="A126" s="85"/>
      <c r="B126" s="86"/>
      <c r="C126" s="94"/>
      <c r="D126" s="93"/>
      <c r="E126" s="22"/>
      <c r="F126" s="22"/>
      <c r="G126" s="22"/>
    </row>
    <row r="127" spans="1:7" ht="57" customHeight="1" x14ac:dyDescent="0.3">
      <c r="A127" s="85"/>
      <c r="B127" s="86"/>
      <c r="C127" s="94"/>
      <c r="D127" s="93"/>
      <c r="E127" s="22"/>
      <c r="F127" s="22"/>
      <c r="G127" s="22"/>
    </row>
    <row r="128" spans="1:7" ht="57" customHeight="1" x14ac:dyDescent="0.3">
      <c r="A128" s="85"/>
      <c r="B128" s="86"/>
      <c r="C128" s="94"/>
      <c r="D128" s="93"/>
      <c r="E128" s="22"/>
      <c r="F128" s="22"/>
      <c r="G128" s="22"/>
    </row>
    <row r="129" spans="1:7" ht="57" customHeight="1" x14ac:dyDescent="0.3">
      <c r="A129" s="85"/>
      <c r="B129" s="86"/>
      <c r="C129" s="94"/>
      <c r="D129" s="93"/>
      <c r="E129" s="22"/>
      <c r="F129" s="22"/>
      <c r="G129" s="22"/>
    </row>
    <row r="130" spans="1:7" ht="57" customHeight="1" x14ac:dyDescent="0.3">
      <c r="A130" s="85"/>
      <c r="B130" s="86"/>
      <c r="C130" s="94"/>
      <c r="D130" s="93"/>
      <c r="E130" s="22"/>
      <c r="F130" s="22"/>
      <c r="G130" s="22"/>
    </row>
    <row r="131" spans="1:7" ht="57" customHeight="1" x14ac:dyDescent="0.3">
      <c r="A131" s="85"/>
      <c r="B131" s="86"/>
      <c r="C131" s="94"/>
      <c r="D131" s="93"/>
      <c r="E131" s="22"/>
      <c r="F131" s="22"/>
      <c r="G131" s="22"/>
    </row>
    <row r="132" spans="1:7" ht="57" customHeight="1" x14ac:dyDescent="0.3">
      <c r="A132" s="85"/>
      <c r="B132" s="86"/>
      <c r="C132" s="94"/>
      <c r="D132" s="93"/>
      <c r="E132" s="22"/>
      <c r="F132" s="22"/>
      <c r="G132" s="22"/>
    </row>
    <row r="133" spans="1:7" ht="57" customHeight="1" x14ac:dyDescent="0.3">
      <c r="A133" s="85"/>
      <c r="B133" s="86"/>
      <c r="C133" s="94"/>
      <c r="D133" s="93"/>
      <c r="E133" s="22"/>
      <c r="F133" s="22"/>
      <c r="G133" s="22"/>
    </row>
    <row r="134" spans="1:7" ht="57" customHeight="1" x14ac:dyDescent="0.3">
      <c r="A134" s="85"/>
      <c r="B134" s="86"/>
      <c r="C134" s="94"/>
      <c r="D134" s="93"/>
      <c r="E134" s="22"/>
      <c r="F134" s="22"/>
      <c r="G134" s="22"/>
    </row>
    <row r="135" spans="1:7" ht="57" customHeight="1" x14ac:dyDescent="0.3">
      <c r="A135" s="85"/>
      <c r="B135" s="86"/>
      <c r="C135" s="94"/>
      <c r="D135" s="93"/>
      <c r="E135" s="22"/>
      <c r="F135" s="22"/>
      <c r="G135" s="22"/>
    </row>
    <row r="136" spans="1:7" ht="57" customHeight="1" x14ac:dyDescent="0.3">
      <c r="A136" s="85"/>
      <c r="B136" s="86"/>
      <c r="C136" s="94"/>
      <c r="D136" s="93"/>
      <c r="E136" s="22"/>
      <c r="F136" s="22"/>
      <c r="G136" s="22"/>
    </row>
    <row r="137" spans="1:7" ht="57" customHeight="1" x14ac:dyDescent="0.3">
      <c r="A137" s="85"/>
      <c r="B137" s="86"/>
      <c r="C137" s="94"/>
      <c r="D137" s="93"/>
      <c r="E137" s="22"/>
      <c r="F137" s="22"/>
      <c r="G137" s="22"/>
    </row>
    <row r="138" spans="1:7" ht="57" customHeight="1" x14ac:dyDescent="0.3">
      <c r="A138" s="85"/>
      <c r="B138" s="86"/>
      <c r="C138" s="94"/>
      <c r="D138" s="93"/>
      <c r="E138" s="22"/>
      <c r="F138" s="22"/>
      <c r="G138" s="22"/>
    </row>
    <row r="139" spans="1:7" ht="57" customHeight="1" x14ac:dyDescent="0.3">
      <c r="A139" s="85"/>
      <c r="B139" s="86"/>
      <c r="C139" s="94"/>
      <c r="D139" s="93"/>
      <c r="E139" s="22"/>
      <c r="F139" s="22"/>
      <c r="G139" s="22"/>
    </row>
    <row r="140" spans="1:7" ht="57" customHeight="1" x14ac:dyDescent="0.3">
      <c r="A140" s="85"/>
      <c r="B140" s="86"/>
      <c r="C140" s="94"/>
      <c r="D140" s="93"/>
      <c r="E140" s="22"/>
      <c r="F140" s="22"/>
      <c r="G140" s="22"/>
    </row>
    <row r="141" spans="1:7" ht="57" customHeight="1" x14ac:dyDescent="0.3">
      <c r="A141" s="85"/>
      <c r="B141" s="86"/>
      <c r="C141" s="94"/>
      <c r="D141" s="93"/>
      <c r="E141" s="22"/>
      <c r="F141" s="22"/>
      <c r="G141" s="22"/>
    </row>
    <row r="142" spans="1:7" ht="57" customHeight="1" x14ac:dyDescent="0.3">
      <c r="A142" s="85"/>
      <c r="B142" s="86"/>
      <c r="C142" s="94"/>
      <c r="D142" s="93"/>
      <c r="E142" s="22"/>
      <c r="F142" s="22"/>
      <c r="G142" s="22"/>
    </row>
    <row r="143" spans="1:7" ht="57" customHeight="1" x14ac:dyDescent="0.3">
      <c r="A143" s="85"/>
      <c r="B143" s="86"/>
      <c r="C143" s="94"/>
      <c r="D143" s="93"/>
      <c r="E143" s="22"/>
      <c r="F143" s="22"/>
      <c r="G143" s="22"/>
    </row>
    <row r="144" spans="1:7" ht="57" customHeight="1" x14ac:dyDescent="0.3">
      <c r="A144" s="85"/>
      <c r="B144" s="86"/>
      <c r="C144" s="94"/>
      <c r="D144" s="93"/>
      <c r="E144" s="22"/>
      <c r="F144" s="22"/>
      <c r="G144" s="22"/>
    </row>
    <row r="145" spans="1:7" ht="57" customHeight="1" x14ac:dyDescent="0.3">
      <c r="A145" s="85"/>
      <c r="B145" s="86"/>
      <c r="C145" s="94"/>
      <c r="D145" s="93"/>
      <c r="E145" s="22"/>
      <c r="F145" s="22"/>
      <c r="G145" s="22"/>
    </row>
    <row r="146" spans="1:7" ht="57" customHeight="1" x14ac:dyDescent="0.3">
      <c r="A146" s="85"/>
      <c r="B146" s="86"/>
      <c r="C146" s="94"/>
      <c r="D146" s="93"/>
      <c r="E146" s="22"/>
      <c r="F146" s="22"/>
      <c r="G146" s="22"/>
    </row>
    <row r="147" spans="1:7" ht="57" customHeight="1" x14ac:dyDescent="0.3">
      <c r="A147" s="85"/>
      <c r="B147" s="86"/>
      <c r="C147" s="94"/>
      <c r="D147" s="93"/>
      <c r="E147" s="22"/>
      <c r="F147" s="22"/>
      <c r="G147" s="22"/>
    </row>
    <row r="148" spans="1:7" ht="57" customHeight="1" x14ac:dyDescent="0.3">
      <c r="A148" s="85"/>
      <c r="B148" s="86"/>
      <c r="C148" s="94"/>
      <c r="D148" s="93"/>
      <c r="E148" s="22"/>
      <c r="F148" s="22"/>
      <c r="G148" s="22"/>
    </row>
    <row r="149" spans="1:7" ht="57" customHeight="1" x14ac:dyDescent="0.3">
      <c r="A149" s="85"/>
      <c r="B149" s="86"/>
      <c r="C149" s="94"/>
      <c r="D149" s="93"/>
      <c r="E149" s="22"/>
      <c r="F149" s="22"/>
      <c r="G149" s="22"/>
    </row>
    <row r="150" spans="1:7" ht="57" customHeight="1" x14ac:dyDescent="0.3">
      <c r="A150" s="85"/>
      <c r="B150" s="86"/>
      <c r="C150" s="94"/>
      <c r="D150" s="93"/>
      <c r="E150" s="22"/>
      <c r="F150" s="22"/>
      <c r="G150" s="22"/>
    </row>
    <row r="151" spans="1:7" ht="57" customHeight="1" x14ac:dyDescent="0.3">
      <c r="A151" s="85"/>
      <c r="B151" s="86"/>
      <c r="C151" s="94"/>
      <c r="D151" s="93"/>
      <c r="E151" s="22"/>
      <c r="F151" s="22"/>
      <c r="G151" s="22"/>
    </row>
    <row r="152" spans="1:7" ht="57" customHeight="1" x14ac:dyDescent="0.3">
      <c r="A152" s="85"/>
      <c r="B152" s="86"/>
      <c r="C152" s="94"/>
      <c r="D152" s="93"/>
      <c r="E152" s="22"/>
      <c r="F152" s="22"/>
      <c r="G152" s="22"/>
    </row>
    <row r="153" spans="1:7" ht="57" customHeight="1" x14ac:dyDescent="0.3">
      <c r="A153" s="85"/>
      <c r="B153" s="86"/>
      <c r="C153" s="94"/>
      <c r="D153" s="93"/>
      <c r="E153" s="22"/>
      <c r="F153" s="22"/>
      <c r="G153" s="22"/>
    </row>
    <row r="154" spans="1:7" ht="57" customHeight="1" x14ac:dyDescent="0.3">
      <c r="A154" s="85"/>
      <c r="B154" s="86"/>
      <c r="C154" s="94"/>
      <c r="D154" s="93"/>
      <c r="E154" s="22"/>
      <c r="F154" s="22"/>
      <c r="G154" s="22"/>
    </row>
    <row r="155" spans="1:7" ht="57" customHeight="1" x14ac:dyDescent="0.3">
      <c r="A155" s="85"/>
      <c r="B155" s="86"/>
      <c r="C155" s="94"/>
      <c r="D155" s="93"/>
      <c r="E155" s="22"/>
      <c r="F155" s="22"/>
      <c r="G155" s="22"/>
    </row>
    <row r="156" spans="1:7" ht="57" customHeight="1" x14ac:dyDescent="0.3">
      <c r="A156" s="85"/>
      <c r="B156" s="86"/>
      <c r="C156" s="94"/>
      <c r="D156" s="93"/>
      <c r="E156" s="22"/>
      <c r="F156" s="22"/>
      <c r="G156" s="22"/>
    </row>
    <row r="157" spans="1:7" ht="57" customHeight="1" x14ac:dyDescent="0.3">
      <c r="A157" s="85"/>
      <c r="B157" s="86"/>
      <c r="C157" s="94"/>
      <c r="D157" s="93"/>
      <c r="E157" s="22"/>
      <c r="F157" s="22"/>
      <c r="G157" s="22"/>
    </row>
    <row r="158" spans="1:7" ht="57" customHeight="1" x14ac:dyDescent="0.3">
      <c r="A158" s="85"/>
      <c r="B158" s="86"/>
      <c r="C158" s="94"/>
      <c r="D158" s="93"/>
      <c r="E158" s="22"/>
      <c r="F158" s="22"/>
      <c r="G158" s="22"/>
    </row>
    <row r="159" spans="1:7" ht="57" customHeight="1" x14ac:dyDescent="0.3">
      <c r="A159" s="85"/>
      <c r="B159" s="86"/>
      <c r="C159" s="94"/>
      <c r="D159" s="93"/>
      <c r="E159" s="22"/>
      <c r="F159" s="22"/>
      <c r="G159" s="22"/>
    </row>
    <row r="160" spans="1:7" ht="57" customHeight="1" x14ac:dyDescent="0.3">
      <c r="A160" s="85"/>
      <c r="B160" s="86"/>
      <c r="C160" s="94"/>
      <c r="D160" s="93"/>
      <c r="E160" s="22"/>
      <c r="F160" s="22"/>
      <c r="G160" s="22"/>
    </row>
    <row r="161" spans="1:7" ht="57" customHeight="1" x14ac:dyDescent="0.3">
      <c r="A161" s="85"/>
      <c r="B161" s="86"/>
      <c r="C161" s="94"/>
      <c r="D161" s="93"/>
      <c r="E161" s="22"/>
      <c r="F161" s="22"/>
      <c r="G161" s="22"/>
    </row>
    <row r="162" spans="1:7" ht="57" customHeight="1" x14ac:dyDescent="0.3">
      <c r="A162" s="85"/>
      <c r="B162" s="86"/>
      <c r="C162" s="94"/>
      <c r="D162" s="93"/>
      <c r="E162" s="22"/>
      <c r="F162" s="22"/>
      <c r="G162" s="22"/>
    </row>
    <row r="163" spans="1:7" ht="57" customHeight="1" x14ac:dyDescent="0.3">
      <c r="A163" s="85"/>
      <c r="B163" s="86"/>
      <c r="C163" s="94"/>
      <c r="D163" s="93"/>
      <c r="E163" s="22"/>
      <c r="F163" s="22"/>
      <c r="G163" s="22"/>
    </row>
    <row r="164" spans="1:7" ht="57" customHeight="1" x14ac:dyDescent="0.3">
      <c r="A164" s="85"/>
      <c r="B164" s="86"/>
      <c r="C164" s="94"/>
      <c r="D164" s="93"/>
      <c r="E164" s="22"/>
      <c r="F164" s="22"/>
      <c r="G164" s="22"/>
    </row>
    <row r="165" spans="1:7" ht="57" customHeight="1" x14ac:dyDescent="0.3">
      <c r="A165" s="85"/>
      <c r="B165" s="86"/>
      <c r="C165" s="94"/>
      <c r="D165" s="93"/>
      <c r="E165" s="22"/>
      <c r="F165" s="22"/>
      <c r="G165" s="22"/>
    </row>
    <row r="166" spans="1:7" ht="57" customHeight="1" x14ac:dyDescent="0.3">
      <c r="A166" s="85"/>
      <c r="B166" s="86"/>
      <c r="C166" s="94"/>
      <c r="D166" s="93"/>
      <c r="E166" s="22"/>
      <c r="F166" s="22"/>
      <c r="G166" s="22"/>
    </row>
    <row r="167" spans="1:7" ht="57" customHeight="1" x14ac:dyDescent="0.3">
      <c r="A167" s="85"/>
      <c r="B167" s="86"/>
      <c r="C167" s="94"/>
      <c r="D167" s="93"/>
      <c r="E167" s="22"/>
      <c r="F167" s="22"/>
      <c r="G167" s="22"/>
    </row>
    <row r="168" spans="1:7" ht="57" customHeight="1" x14ac:dyDescent="0.3">
      <c r="A168" s="85"/>
      <c r="B168" s="86"/>
      <c r="C168" s="94"/>
      <c r="D168" s="93"/>
      <c r="E168" s="22"/>
      <c r="F168" s="22"/>
      <c r="G168" s="22"/>
    </row>
    <row r="169" spans="1:7" ht="57" customHeight="1" x14ac:dyDescent="0.3">
      <c r="A169" s="85"/>
      <c r="B169" s="86"/>
      <c r="C169" s="94"/>
      <c r="D169" s="93"/>
      <c r="E169" s="22"/>
      <c r="F169" s="22"/>
      <c r="G169" s="22"/>
    </row>
    <row r="170" spans="1:7" ht="57" customHeight="1" x14ac:dyDescent="0.3">
      <c r="A170" s="85"/>
      <c r="B170" s="86"/>
      <c r="C170" s="94"/>
      <c r="D170" s="93"/>
      <c r="E170" s="22"/>
      <c r="F170" s="22"/>
      <c r="G170" s="22"/>
    </row>
    <row r="171" spans="1:7" ht="57" customHeight="1" x14ac:dyDescent="0.3">
      <c r="A171" s="85"/>
      <c r="B171" s="86"/>
      <c r="C171" s="94"/>
      <c r="D171" s="93"/>
      <c r="E171" s="22"/>
      <c r="F171" s="22"/>
      <c r="G171" s="22"/>
    </row>
    <row r="172" spans="1:7" ht="57" customHeight="1" x14ac:dyDescent="0.3">
      <c r="A172" s="85"/>
      <c r="B172" s="86"/>
      <c r="C172" s="94"/>
      <c r="D172" s="93"/>
      <c r="E172" s="22"/>
      <c r="F172" s="22"/>
      <c r="G172" s="22"/>
    </row>
    <row r="173" spans="1:7" ht="57" customHeight="1" x14ac:dyDescent="0.3">
      <c r="A173" s="85"/>
      <c r="B173" s="86"/>
      <c r="C173" s="94"/>
      <c r="D173" s="93"/>
      <c r="E173" s="22"/>
      <c r="F173" s="22"/>
      <c r="G173" s="22"/>
    </row>
    <row r="174" spans="1:7" ht="57" customHeight="1" x14ac:dyDescent="0.3">
      <c r="A174" s="85"/>
      <c r="B174" s="86"/>
      <c r="C174" s="94"/>
      <c r="D174" s="93"/>
      <c r="E174" s="22"/>
      <c r="F174" s="22"/>
      <c r="G174" s="22"/>
    </row>
    <row r="175" spans="1:7" ht="57" customHeight="1" x14ac:dyDescent="0.3">
      <c r="A175" s="85"/>
      <c r="B175" s="86"/>
      <c r="C175" s="94"/>
      <c r="D175" s="93"/>
      <c r="E175" s="22"/>
      <c r="F175" s="22"/>
      <c r="G175" s="22"/>
    </row>
    <row r="176" spans="1:7" ht="57" customHeight="1" x14ac:dyDescent="0.3">
      <c r="A176" s="85"/>
      <c r="B176" s="86"/>
      <c r="C176" s="94"/>
      <c r="D176" s="93"/>
      <c r="E176" s="22"/>
      <c r="F176" s="22"/>
      <c r="G176" s="22"/>
    </row>
    <row r="177" spans="1:7" ht="57" customHeight="1" x14ac:dyDescent="0.3">
      <c r="A177" s="85"/>
      <c r="B177" s="86"/>
      <c r="C177" s="94"/>
      <c r="D177" s="93"/>
      <c r="E177" s="22"/>
      <c r="F177" s="22"/>
      <c r="G177" s="22"/>
    </row>
    <row r="178" spans="1:7" ht="57" customHeight="1" x14ac:dyDescent="0.3">
      <c r="A178" s="85"/>
      <c r="B178" s="86"/>
      <c r="C178" s="94"/>
      <c r="D178" s="93"/>
      <c r="E178" s="22"/>
      <c r="F178" s="22"/>
      <c r="G178" s="22"/>
    </row>
    <row r="179" spans="1:7" ht="57" customHeight="1" x14ac:dyDescent="0.3">
      <c r="A179" s="85"/>
      <c r="B179" s="86"/>
      <c r="C179" s="94"/>
      <c r="D179" s="93"/>
      <c r="E179" s="22"/>
      <c r="F179" s="22"/>
      <c r="G179" s="22"/>
    </row>
    <row r="180" spans="1:7" ht="57" customHeight="1" x14ac:dyDescent="0.3">
      <c r="A180" s="85"/>
      <c r="B180" s="86"/>
      <c r="C180" s="94"/>
      <c r="D180" s="93"/>
      <c r="E180" s="22"/>
      <c r="F180" s="22"/>
      <c r="G180" s="22"/>
    </row>
    <row r="181" spans="1:7" ht="57" customHeight="1" x14ac:dyDescent="0.3">
      <c r="A181" s="85"/>
      <c r="B181" s="86"/>
      <c r="C181" s="94"/>
      <c r="D181" s="93"/>
      <c r="E181" s="22"/>
      <c r="F181" s="22"/>
      <c r="G181" s="22"/>
    </row>
    <row r="182" spans="1:7" ht="57" customHeight="1" x14ac:dyDescent="0.3">
      <c r="A182" s="85"/>
      <c r="B182" s="86"/>
      <c r="C182" s="94"/>
      <c r="D182" s="93"/>
      <c r="E182" s="22"/>
      <c r="F182" s="22"/>
      <c r="G182" s="22"/>
    </row>
    <row r="183" spans="1:7" ht="57" customHeight="1" x14ac:dyDescent="0.3">
      <c r="A183" s="85"/>
      <c r="B183" s="86"/>
      <c r="C183" s="94"/>
      <c r="D183" s="93"/>
      <c r="E183" s="22"/>
      <c r="F183" s="22"/>
      <c r="G183" s="22"/>
    </row>
    <row r="184" spans="1:7" ht="57" customHeight="1" x14ac:dyDescent="0.3">
      <c r="A184" s="85"/>
      <c r="B184" s="86"/>
      <c r="C184" s="94"/>
      <c r="D184" s="93"/>
      <c r="E184" s="22"/>
      <c r="F184" s="22"/>
      <c r="G184" s="22"/>
    </row>
    <row r="185" spans="1:7" ht="57" customHeight="1" x14ac:dyDescent="0.3">
      <c r="A185" s="85"/>
      <c r="B185" s="86"/>
      <c r="C185" s="94"/>
      <c r="D185" s="93"/>
      <c r="E185" s="22"/>
      <c r="F185" s="22"/>
      <c r="G185" s="22"/>
    </row>
    <row r="186" spans="1:7" ht="57" customHeight="1" x14ac:dyDescent="0.3">
      <c r="A186" s="85"/>
      <c r="B186" s="86"/>
      <c r="C186" s="94"/>
      <c r="D186" s="93"/>
      <c r="E186" s="22"/>
      <c r="F186" s="22"/>
      <c r="G186" s="22"/>
    </row>
    <row r="187" spans="1:7" ht="57" customHeight="1" x14ac:dyDescent="0.3">
      <c r="A187" s="85"/>
      <c r="B187" s="86"/>
      <c r="C187" s="94"/>
      <c r="D187" s="93"/>
      <c r="E187" s="22"/>
      <c r="F187" s="22"/>
      <c r="G187" s="22"/>
    </row>
    <row r="188" spans="1:7" ht="57" customHeight="1" x14ac:dyDescent="0.3">
      <c r="A188" s="85"/>
      <c r="B188" s="86"/>
      <c r="C188" s="94"/>
      <c r="D188" s="93"/>
      <c r="E188" s="22"/>
      <c r="F188" s="22"/>
      <c r="G188" s="22"/>
    </row>
    <row r="189" spans="1:7" ht="57" customHeight="1" x14ac:dyDescent="0.3">
      <c r="A189" s="85"/>
      <c r="B189" s="86"/>
      <c r="C189" s="94"/>
      <c r="D189" s="93"/>
      <c r="E189" s="22"/>
      <c r="F189" s="22"/>
      <c r="G189" s="22"/>
    </row>
    <row r="190" spans="1:7" ht="57" customHeight="1" x14ac:dyDescent="0.3">
      <c r="A190" s="85"/>
      <c r="B190" s="86"/>
      <c r="C190" s="94"/>
      <c r="D190" s="93"/>
      <c r="E190" s="22"/>
      <c r="F190" s="22"/>
      <c r="G190" s="22"/>
    </row>
    <row r="191" spans="1:7" ht="57" customHeight="1" x14ac:dyDescent="0.3">
      <c r="A191" s="85"/>
      <c r="B191" s="86"/>
      <c r="C191" s="94"/>
      <c r="D191" s="93"/>
      <c r="E191" s="22"/>
      <c r="F191" s="22"/>
      <c r="G191" s="22"/>
    </row>
    <row r="192" spans="1:7" ht="57" customHeight="1" x14ac:dyDescent="0.3">
      <c r="A192" s="85"/>
      <c r="B192" s="86"/>
      <c r="C192" s="94"/>
      <c r="D192" s="93"/>
      <c r="E192" s="22"/>
      <c r="F192" s="22"/>
      <c r="G192" s="22"/>
    </row>
    <row r="193" spans="1:7" ht="57" customHeight="1" x14ac:dyDescent="0.3">
      <c r="A193" s="85"/>
      <c r="B193" s="86"/>
      <c r="C193" s="94"/>
      <c r="D193" s="93"/>
      <c r="E193" s="22"/>
      <c r="F193" s="22"/>
      <c r="G193" s="22"/>
    </row>
    <row r="194" spans="1:7" ht="57" customHeight="1" x14ac:dyDescent="0.3">
      <c r="A194" s="85"/>
      <c r="B194" s="86"/>
      <c r="C194" s="94"/>
      <c r="D194" s="93"/>
      <c r="E194" s="22"/>
      <c r="F194" s="22"/>
      <c r="G194" s="22"/>
    </row>
    <row r="195" spans="1:7" ht="57" customHeight="1" x14ac:dyDescent="0.3">
      <c r="A195" s="85"/>
      <c r="B195" s="86"/>
      <c r="C195" s="94"/>
      <c r="D195" s="93"/>
      <c r="E195" s="22"/>
      <c r="F195" s="22"/>
      <c r="G195" s="22"/>
    </row>
    <row r="196" spans="1:7" ht="57" customHeight="1" x14ac:dyDescent="0.3">
      <c r="A196" s="85"/>
      <c r="B196" s="86"/>
      <c r="C196" s="94"/>
      <c r="D196" s="93"/>
      <c r="E196" s="22"/>
      <c r="F196" s="22"/>
      <c r="G196" s="22"/>
    </row>
    <row r="197" spans="1:7" ht="57" customHeight="1" x14ac:dyDescent="0.3">
      <c r="A197" s="85"/>
      <c r="B197" s="86"/>
      <c r="C197" s="94"/>
      <c r="D197" s="93"/>
      <c r="E197" s="22"/>
      <c r="F197" s="22"/>
      <c r="G197" s="22"/>
    </row>
    <row r="198" spans="1:7" ht="57" customHeight="1" x14ac:dyDescent="0.3">
      <c r="A198" s="85"/>
      <c r="B198" s="86"/>
      <c r="C198" s="94"/>
      <c r="D198" s="93"/>
      <c r="E198" s="22"/>
      <c r="F198" s="22"/>
      <c r="G198" s="22"/>
    </row>
    <row r="199" spans="1:7" ht="57" customHeight="1" x14ac:dyDescent="0.3">
      <c r="A199" s="85"/>
      <c r="B199" s="86"/>
      <c r="C199" s="94"/>
      <c r="D199" s="93"/>
      <c r="E199" s="22"/>
      <c r="F199" s="22"/>
      <c r="G199" s="22"/>
    </row>
    <row r="200" spans="1:7" ht="57" customHeight="1" x14ac:dyDescent="0.3">
      <c r="A200" s="85"/>
      <c r="B200" s="86"/>
      <c r="C200" s="94"/>
      <c r="D200" s="93"/>
      <c r="E200" s="22"/>
      <c r="F200" s="22"/>
      <c r="G200" s="22"/>
    </row>
    <row r="201" spans="1:7" ht="57" customHeight="1" x14ac:dyDescent="0.3">
      <c r="A201" s="85"/>
      <c r="B201" s="86"/>
      <c r="C201" s="94"/>
      <c r="D201" s="93"/>
      <c r="E201" s="22"/>
      <c r="F201" s="22"/>
      <c r="G201" s="22"/>
    </row>
    <row r="202" spans="1:7" ht="57" customHeight="1" x14ac:dyDescent="0.3">
      <c r="A202" s="85"/>
      <c r="B202" s="86"/>
      <c r="C202" s="94"/>
      <c r="D202" s="93"/>
      <c r="E202" s="22"/>
      <c r="F202" s="22"/>
      <c r="G202" s="22"/>
    </row>
    <row r="203" spans="1:7" ht="57" customHeight="1" x14ac:dyDescent="0.3">
      <c r="A203" s="85"/>
      <c r="B203" s="86"/>
      <c r="C203" s="94"/>
      <c r="D203" s="93"/>
      <c r="E203" s="22"/>
      <c r="F203" s="22"/>
      <c r="G203" s="22"/>
    </row>
    <row r="204" spans="1:7" ht="57" customHeight="1" x14ac:dyDescent="0.3">
      <c r="A204" s="85"/>
      <c r="B204" s="86"/>
      <c r="C204" s="94"/>
      <c r="D204" s="93"/>
      <c r="E204" s="22"/>
      <c r="F204" s="22"/>
      <c r="G204" s="22"/>
    </row>
    <row r="205" spans="1:7" ht="57" customHeight="1" x14ac:dyDescent="0.3">
      <c r="A205" s="85"/>
      <c r="B205" s="86"/>
      <c r="C205" s="94"/>
      <c r="D205" s="93"/>
      <c r="E205" s="22"/>
      <c r="F205" s="22"/>
      <c r="G205" s="22"/>
    </row>
    <row r="206" spans="1:7" ht="57" customHeight="1" x14ac:dyDescent="0.3">
      <c r="A206" s="85"/>
      <c r="B206" s="86"/>
      <c r="C206" s="94"/>
      <c r="D206" s="93"/>
      <c r="E206" s="22"/>
      <c r="F206" s="22"/>
      <c r="G206" s="22"/>
    </row>
    <row r="207" spans="1:7" ht="57" customHeight="1" x14ac:dyDescent="0.3">
      <c r="A207" s="85"/>
      <c r="B207" s="86"/>
      <c r="C207" s="94"/>
      <c r="D207" s="93"/>
      <c r="E207" s="22"/>
      <c r="F207" s="22"/>
      <c r="G207" s="22"/>
    </row>
    <row r="208" spans="1:7" ht="57" customHeight="1" x14ac:dyDescent="0.3">
      <c r="A208" s="85"/>
      <c r="B208" s="86"/>
      <c r="C208" s="94"/>
      <c r="D208" s="93"/>
      <c r="E208" s="22"/>
      <c r="F208" s="22"/>
      <c r="G208" s="22"/>
    </row>
    <row r="209" spans="1:7" ht="57" customHeight="1" x14ac:dyDescent="0.3">
      <c r="A209" s="85"/>
      <c r="B209" s="86"/>
      <c r="C209" s="94"/>
      <c r="D209" s="93"/>
      <c r="E209" s="22"/>
      <c r="F209" s="22"/>
      <c r="G209" s="22"/>
    </row>
    <row r="210" spans="1:7" ht="57" customHeight="1" x14ac:dyDescent="0.3">
      <c r="A210" s="85"/>
      <c r="B210" s="86"/>
      <c r="C210" s="94"/>
      <c r="D210" s="93"/>
      <c r="E210" s="22"/>
      <c r="F210" s="22"/>
      <c r="G210" s="22"/>
    </row>
    <row r="211" spans="1:7" ht="57" customHeight="1" x14ac:dyDescent="0.3">
      <c r="A211" s="85"/>
      <c r="B211" s="86"/>
      <c r="C211" s="94"/>
      <c r="D211" s="93"/>
      <c r="E211" s="22"/>
      <c r="F211" s="22"/>
      <c r="G211" s="22"/>
    </row>
    <row r="212" spans="1:7" ht="57" customHeight="1" x14ac:dyDescent="0.3">
      <c r="A212" s="85"/>
      <c r="B212" s="86"/>
      <c r="C212" s="94"/>
      <c r="D212" s="93"/>
      <c r="E212" s="22"/>
      <c r="F212" s="22"/>
      <c r="G212" s="22"/>
    </row>
    <row r="213" spans="1:7" ht="57" customHeight="1" x14ac:dyDescent="0.3">
      <c r="A213" s="85"/>
      <c r="B213" s="86"/>
      <c r="C213" s="94"/>
      <c r="D213" s="93"/>
      <c r="E213" s="22"/>
      <c r="F213" s="22"/>
      <c r="G213" s="22"/>
    </row>
    <row r="214" spans="1:7" ht="57" customHeight="1" x14ac:dyDescent="0.3">
      <c r="A214" s="85"/>
      <c r="B214" s="86"/>
      <c r="C214" s="94"/>
      <c r="D214" s="93"/>
      <c r="E214" s="22"/>
      <c r="F214" s="22"/>
      <c r="G214" s="22"/>
    </row>
    <row r="215" spans="1:7" ht="57" customHeight="1" x14ac:dyDescent="0.3">
      <c r="A215" s="85"/>
      <c r="B215" s="86"/>
      <c r="C215" s="94"/>
      <c r="D215" s="93"/>
      <c r="E215" s="22"/>
      <c r="F215" s="22"/>
      <c r="G215" s="22"/>
    </row>
    <row r="216" spans="1:7" ht="57" customHeight="1" x14ac:dyDescent="0.3">
      <c r="A216" s="85"/>
      <c r="B216" s="86"/>
      <c r="C216" s="94"/>
      <c r="D216" s="93"/>
      <c r="E216" s="22"/>
      <c r="F216" s="22"/>
      <c r="G216" s="22"/>
    </row>
    <row r="217" spans="1:7" ht="57" customHeight="1" x14ac:dyDescent="0.3">
      <c r="A217" s="85"/>
      <c r="B217" s="86"/>
      <c r="C217" s="94"/>
      <c r="D217" s="93"/>
      <c r="E217" s="22"/>
      <c r="F217" s="22"/>
      <c r="G217" s="22"/>
    </row>
    <row r="218" spans="1:7" ht="57" customHeight="1" x14ac:dyDescent="0.3">
      <c r="A218" s="85"/>
      <c r="B218" s="86"/>
      <c r="C218" s="94"/>
      <c r="D218" s="93"/>
      <c r="E218" s="22"/>
      <c r="F218" s="22"/>
      <c r="G218" s="22"/>
    </row>
    <row r="219" spans="1:7" ht="57" customHeight="1" x14ac:dyDescent="0.3">
      <c r="A219" s="85"/>
      <c r="B219" s="86"/>
      <c r="C219" s="94"/>
      <c r="D219" s="93"/>
      <c r="E219" s="22"/>
      <c r="F219" s="22"/>
      <c r="G219" s="22"/>
    </row>
    <row r="220" spans="1:7" ht="57" customHeight="1" x14ac:dyDescent="0.3">
      <c r="A220" s="85"/>
      <c r="B220" s="86"/>
      <c r="C220" s="94"/>
      <c r="D220" s="93"/>
      <c r="E220" s="22"/>
      <c r="F220" s="22"/>
      <c r="G220" s="22"/>
    </row>
    <row r="221" spans="1:7" ht="57" customHeight="1" x14ac:dyDescent="0.3">
      <c r="A221" s="85"/>
      <c r="B221" s="86"/>
      <c r="C221" s="94"/>
      <c r="D221" s="93"/>
      <c r="E221" s="22"/>
      <c r="F221" s="22"/>
      <c r="G221" s="22"/>
    </row>
    <row r="222" spans="1:7" ht="57" customHeight="1" x14ac:dyDescent="0.3">
      <c r="A222" s="85"/>
      <c r="B222" s="86"/>
      <c r="C222" s="94"/>
      <c r="D222" s="93"/>
      <c r="E222" s="22"/>
      <c r="F222" s="22"/>
      <c r="G222" s="22"/>
    </row>
    <row r="223" spans="1:7" ht="57" customHeight="1" x14ac:dyDescent="0.3">
      <c r="A223" s="85"/>
      <c r="B223" s="86"/>
      <c r="C223" s="94"/>
      <c r="D223" s="93"/>
      <c r="E223" s="22"/>
      <c r="F223" s="22"/>
      <c r="G223" s="22"/>
    </row>
    <row r="224" spans="1:7" ht="57" customHeight="1" x14ac:dyDescent="0.3">
      <c r="A224" s="85"/>
      <c r="B224" s="86"/>
      <c r="C224" s="94"/>
      <c r="D224" s="93"/>
      <c r="E224" s="22"/>
      <c r="F224" s="22"/>
      <c r="G224" s="22"/>
    </row>
    <row r="225" spans="1:13" ht="57" customHeight="1" x14ac:dyDescent="0.3">
      <c r="A225" s="85"/>
      <c r="B225" s="86"/>
      <c r="C225" s="94"/>
      <c r="D225" s="93"/>
      <c r="E225" s="22"/>
      <c r="F225" s="22"/>
      <c r="G225" s="22"/>
    </row>
    <row r="226" spans="1:13" ht="57" customHeight="1" x14ac:dyDescent="0.3">
      <c r="A226" s="85"/>
      <c r="B226" s="86"/>
      <c r="C226" s="94"/>
      <c r="D226" s="93"/>
      <c r="E226" s="22"/>
      <c r="F226" s="22"/>
      <c r="G226" s="22"/>
    </row>
    <row r="227" spans="1:13" ht="57" customHeight="1" x14ac:dyDescent="0.3">
      <c r="A227" s="85"/>
      <c r="B227" s="86"/>
      <c r="C227" s="94"/>
      <c r="D227" s="93"/>
      <c r="E227" s="22"/>
      <c r="F227" s="22"/>
      <c r="G227" s="22"/>
    </row>
    <row r="228" spans="1:13" ht="57" customHeight="1" x14ac:dyDescent="0.3">
      <c r="A228" s="85"/>
      <c r="B228" s="86"/>
      <c r="C228" s="94"/>
      <c r="D228" s="93"/>
      <c r="E228" s="22"/>
      <c r="F228" s="22"/>
      <c r="G228" s="22"/>
    </row>
    <row r="229" spans="1:13" ht="57" customHeight="1" x14ac:dyDescent="0.3">
      <c r="A229" s="85"/>
      <c r="B229" s="86"/>
      <c r="C229" s="94"/>
      <c r="D229" s="93"/>
      <c r="E229" s="22"/>
      <c r="F229" s="22"/>
      <c r="G229" s="22"/>
    </row>
    <row r="230" spans="1:13" ht="57" customHeight="1" x14ac:dyDescent="0.3">
      <c r="A230" s="85"/>
      <c r="B230" s="86"/>
      <c r="C230" s="94"/>
      <c r="D230" s="93"/>
      <c r="E230" s="22"/>
      <c r="F230" s="22"/>
      <c r="G230" s="22"/>
    </row>
    <row r="231" spans="1:13" ht="57" customHeight="1" x14ac:dyDescent="0.3">
      <c r="A231" s="85"/>
      <c r="B231" s="86"/>
      <c r="C231" s="94"/>
      <c r="D231" s="93"/>
      <c r="E231" s="22"/>
      <c r="F231" s="22"/>
      <c r="G231" s="22"/>
    </row>
    <row r="232" spans="1:13" ht="57" customHeight="1" x14ac:dyDescent="0.3">
      <c r="A232" s="85"/>
      <c r="B232" s="86"/>
      <c r="C232" s="94"/>
      <c r="D232" s="93"/>
      <c r="E232" s="22"/>
      <c r="F232" s="22"/>
      <c r="G232" s="22"/>
    </row>
    <row r="233" spans="1:13" ht="57" customHeight="1" x14ac:dyDescent="0.3">
      <c r="A233" s="85"/>
      <c r="B233" s="86"/>
      <c r="C233" s="94"/>
      <c r="D233" s="93"/>
      <c r="E233" s="22"/>
      <c r="F233" s="22"/>
      <c r="G233" s="22"/>
    </row>
    <row r="234" spans="1:13" ht="57" customHeight="1" x14ac:dyDescent="0.3">
      <c r="A234" s="85"/>
      <c r="B234" s="86"/>
      <c r="C234" s="94"/>
      <c r="D234" s="93"/>
      <c r="E234" s="22"/>
      <c r="F234" s="22"/>
      <c r="G234" s="22"/>
    </row>
    <row r="235" spans="1:13" ht="57" customHeight="1" x14ac:dyDescent="0.3">
      <c r="A235" s="85"/>
      <c r="B235" s="86"/>
      <c r="C235" s="94"/>
      <c r="D235" s="93"/>
      <c r="E235" s="22"/>
      <c r="F235" s="22"/>
      <c r="G235" s="22"/>
    </row>
    <row r="236" spans="1:13" ht="57" customHeight="1" x14ac:dyDescent="0.3">
      <c r="A236" s="85"/>
      <c r="B236" s="86"/>
      <c r="C236" s="94"/>
      <c r="D236" s="93"/>
      <c r="E236" s="22"/>
      <c r="F236" s="22"/>
      <c r="G236" s="22"/>
    </row>
    <row r="237" spans="1:13" ht="57" customHeight="1" x14ac:dyDescent="0.3">
      <c r="A237" s="85"/>
      <c r="B237" s="86"/>
      <c r="C237" s="94"/>
      <c r="D237" s="93"/>
      <c r="E237" s="22"/>
      <c r="F237" s="22"/>
      <c r="G237" s="22"/>
    </row>
    <row r="238" spans="1:13" ht="57" customHeight="1" x14ac:dyDescent="0.3">
      <c r="A238" s="85"/>
      <c r="B238" s="86"/>
      <c r="C238" s="94"/>
      <c r="D238" s="93"/>
      <c r="E238" s="22"/>
      <c r="F238" s="22"/>
      <c r="G238" s="22"/>
    </row>
    <row r="239" spans="1:13" ht="57" customHeight="1" x14ac:dyDescent="0.3">
      <c r="A239" s="85"/>
      <c r="B239" s="86"/>
      <c r="C239" s="94"/>
      <c r="D239" s="93"/>
      <c r="E239" s="22"/>
      <c r="F239" s="22"/>
      <c r="G239" s="22"/>
    </row>
    <row r="240" spans="1:13" ht="57" customHeight="1" x14ac:dyDescent="0.3">
      <c r="A240" s="39"/>
      <c r="B240" s="40"/>
      <c r="C240" s="41"/>
      <c r="D240" s="42"/>
      <c r="E240" s="43"/>
      <c r="F240" s="43"/>
      <c r="G240" s="43"/>
      <c r="H240" s="41"/>
      <c r="J240" s="44"/>
      <c r="K240" s="44"/>
      <c r="L240" s="41"/>
      <c r="M240" s="41"/>
    </row>
    <row r="241" spans="1:4" ht="73.5" customHeight="1" x14ac:dyDescent="0.3">
      <c r="A241" s="91"/>
      <c r="B241" s="86"/>
      <c r="C241" s="92"/>
      <c r="D241" s="93"/>
    </row>
    <row r="242" spans="1:4" ht="63.75" customHeight="1" x14ac:dyDescent="0.3">
      <c r="A242" s="91"/>
      <c r="B242" s="86"/>
      <c r="C242" s="92"/>
      <c r="D242" s="93"/>
    </row>
    <row r="243" spans="1:4" ht="63.75" customHeight="1" x14ac:dyDescent="0.3">
      <c r="A243" s="91"/>
      <c r="B243" s="86"/>
      <c r="C243" s="92"/>
      <c r="D243" s="93"/>
    </row>
    <row r="244" spans="1:4" ht="63.75" customHeight="1" x14ac:dyDescent="0.3">
      <c r="A244" s="91"/>
      <c r="B244" s="86"/>
      <c r="C244" s="92"/>
      <c r="D244" s="93"/>
    </row>
    <row r="245" spans="1:4" ht="63.75" customHeight="1" x14ac:dyDescent="0.3">
      <c r="A245" s="91"/>
      <c r="B245" s="86"/>
      <c r="C245" s="92"/>
      <c r="D245" s="93"/>
    </row>
    <row r="246" spans="1:4" ht="63.75" customHeight="1" x14ac:dyDescent="0.3">
      <c r="A246" s="91"/>
      <c r="B246" s="86"/>
      <c r="C246" s="92"/>
      <c r="D246" s="93"/>
    </row>
    <row r="247" spans="1:4" ht="63.75" customHeight="1" x14ac:dyDescent="0.3">
      <c r="A247" s="91"/>
      <c r="B247" s="86"/>
      <c r="C247" s="92"/>
      <c r="D247" s="93"/>
    </row>
    <row r="248" spans="1:4" ht="63.75" customHeight="1" x14ac:dyDescent="0.3">
      <c r="A248" s="91"/>
      <c r="B248" s="86"/>
      <c r="C248" s="92"/>
      <c r="D248" s="93"/>
    </row>
    <row r="249" spans="1:4" ht="59.25" customHeight="1" x14ac:dyDescent="0.3">
      <c r="A249" s="91"/>
      <c r="B249" s="86"/>
      <c r="C249" s="92"/>
      <c r="D249" s="93"/>
    </row>
    <row r="250" spans="1:4" ht="59.25" customHeight="1" x14ac:dyDescent="0.3">
      <c r="A250" s="91"/>
      <c r="B250" s="86"/>
      <c r="C250" s="92"/>
      <c r="D250" s="93"/>
    </row>
    <row r="251" spans="1:4" ht="59.25" customHeight="1" x14ac:dyDescent="0.3">
      <c r="A251" s="91"/>
      <c r="B251" s="86"/>
      <c r="C251" s="92"/>
      <c r="D251" s="93"/>
    </row>
    <row r="252" spans="1:4" ht="59.25" customHeight="1" x14ac:dyDescent="0.3">
      <c r="A252" s="91"/>
      <c r="B252" s="86"/>
      <c r="C252" s="92"/>
      <c r="D252" s="93"/>
    </row>
    <row r="253" spans="1:4" ht="59.25" customHeight="1" x14ac:dyDescent="0.3">
      <c r="A253" s="91"/>
      <c r="B253" s="86"/>
      <c r="C253" s="92"/>
      <c r="D253" s="93"/>
    </row>
    <row r="254" spans="1:4" ht="59.25" customHeight="1" x14ac:dyDescent="0.3">
      <c r="A254" s="91"/>
      <c r="B254" s="86"/>
      <c r="C254" s="92"/>
      <c r="D254" s="93"/>
    </row>
    <row r="255" spans="1:4" ht="59.25" customHeight="1" x14ac:dyDescent="0.3">
      <c r="A255" s="91"/>
      <c r="B255" s="86"/>
      <c r="C255" s="92"/>
      <c r="D255" s="93"/>
    </row>
    <row r="256" spans="1:4" ht="59.25" customHeight="1" x14ac:dyDescent="0.3">
      <c r="A256" s="91"/>
      <c r="B256" s="86"/>
      <c r="C256" s="92"/>
      <c r="D256" s="93"/>
    </row>
    <row r="257" spans="1:4" ht="59.25" customHeight="1" x14ac:dyDescent="0.3">
      <c r="A257" s="91"/>
      <c r="B257" s="86"/>
      <c r="C257" s="92"/>
      <c r="D257" s="93"/>
    </row>
    <row r="258" spans="1:4" ht="59.25" customHeight="1" x14ac:dyDescent="0.3">
      <c r="A258" s="91"/>
      <c r="B258" s="86"/>
      <c r="C258" s="92"/>
      <c r="D258" s="93"/>
    </row>
    <row r="259" spans="1:4" ht="59.25" customHeight="1" x14ac:dyDescent="0.3">
      <c r="A259" s="91"/>
      <c r="B259" s="86"/>
      <c r="C259" s="92"/>
      <c r="D259" s="93"/>
    </row>
    <row r="260" spans="1:4" ht="59.25" customHeight="1" x14ac:dyDescent="0.3">
      <c r="A260" s="91"/>
      <c r="B260" s="86"/>
      <c r="C260" s="92"/>
      <c r="D260" s="93"/>
    </row>
    <row r="261" spans="1:4" ht="59.25" customHeight="1" x14ac:dyDescent="0.3">
      <c r="A261" s="91"/>
      <c r="B261" s="86"/>
      <c r="C261" s="92"/>
      <c r="D261" s="93"/>
    </row>
    <row r="262" spans="1:4" ht="59.25" customHeight="1" x14ac:dyDescent="0.3">
      <c r="A262" s="91"/>
      <c r="B262" s="86"/>
      <c r="C262" s="92"/>
      <c r="D262" s="93"/>
    </row>
    <row r="263" spans="1:4" ht="59.25" customHeight="1" x14ac:dyDescent="0.3">
      <c r="A263" s="91"/>
      <c r="B263" s="86"/>
      <c r="C263" s="92"/>
      <c r="D263" s="93"/>
    </row>
    <row r="264" spans="1:4" ht="59.25" customHeight="1" x14ac:dyDescent="0.3">
      <c r="A264" s="91"/>
      <c r="B264" s="86"/>
      <c r="C264" s="92"/>
      <c r="D264" s="93"/>
    </row>
    <row r="265" spans="1:4" ht="59.25" customHeight="1" x14ac:dyDescent="0.3">
      <c r="A265" s="91"/>
      <c r="B265" s="86"/>
      <c r="C265" s="92"/>
      <c r="D265" s="93"/>
    </row>
    <row r="266" spans="1:4" ht="59.25" customHeight="1" x14ac:dyDescent="0.3">
      <c r="A266" s="91"/>
      <c r="B266" s="86"/>
      <c r="C266" s="92"/>
      <c r="D266" s="93"/>
    </row>
    <row r="267" spans="1:4" ht="59.25" customHeight="1" x14ac:dyDescent="0.3">
      <c r="A267" s="91"/>
      <c r="B267" s="86"/>
      <c r="C267" s="92"/>
      <c r="D267" s="93"/>
    </row>
    <row r="268" spans="1:4" ht="59.25" customHeight="1" x14ac:dyDescent="0.3">
      <c r="A268" s="91"/>
      <c r="B268" s="86"/>
      <c r="C268" s="92"/>
      <c r="D268" s="93"/>
    </row>
    <row r="269" spans="1:4" ht="59.25" customHeight="1" x14ac:dyDescent="0.3">
      <c r="A269" s="91"/>
      <c r="B269" s="86"/>
      <c r="C269" s="92"/>
      <c r="D269" s="93"/>
    </row>
    <row r="270" spans="1:4" ht="59.25" customHeight="1" x14ac:dyDescent="0.3">
      <c r="A270" s="91"/>
      <c r="B270" s="86"/>
      <c r="C270" s="92"/>
      <c r="D270" s="93"/>
    </row>
    <row r="271" spans="1:4" ht="59.25" customHeight="1" x14ac:dyDescent="0.3">
      <c r="A271" s="91"/>
      <c r="B271" s="86"/>
      <c r="C271" s="92"/>
      <c r="D271" s="93"/>
    </row>
    <row r="272" spans="1:4" ht="59.25" customHeight="1" x14ac:dyDescent="0.3">
      <c r="A272" s="91"/>
      <c r="B272" s="86"/>
      <c r="C272" s="92"/>
      <c r="D272" s="93"/>
    </row>
    <row r="273" spans="1:4" ht="59.25" customHeight="1" x14ac:dyDescent="0.3">
      <c r="A273" s="91"/>
      <c r="B273" s="86"/>
      <c r="C273" s="92"/>
      <c r="D273" s="93"/>
    </row>
    <row r="274" spans="1:4" ht="59.25" customHeight="1" x14ac:dyDescent="0.3">
      <c r="A274" s="91"/>
      <c r="B274" s="86"/>
      <c r="C274" s="92"/>
      <c r="D274" s="93"/>
    </row>
    <row r="275" spans="1:4" ht="59.25" customHeight="1" x14ac:dyDescent="0.3">
      <c r="A275" s="91"/>
      <c r="B275" s="86"/>
      <c r="C275" s="92"/>
      <c r="D275" s="93"/>
    </row>
    <row r="276" spans="1:4" ht="59.25" customHeight="1" x14ac:dyDescent="0.3">
      <c r="A276" s="91"/>
      <c r="B276" s="86"/>
      <c r="C276" s="92"/>
      <c r="D276" s="93"/>
    </row>
    <row r="277" spans="1:4" ht="59.25" customHeight="1" x14ac:dyDescent="0.3">
      <c r="A277" s="91"/>
      <c r="B277" s="86"/>
      <c r="C277" s="92"/>
      <c r="D277" s="93"/>
    </row>
    <row r="278" spans="1:4" ht="59.25" customHeight="1" x14ac:dyDescent="0.3">
      <c r="A278" s="91"/>
      <c r="B278" s="86"/>
      <c r="C278" s="92"/>
      <c r="D278" s="93"/>
    </row>
    <row r="279" spans="1:4" ht="59.25" customHeight="1" x14ac:dyDescent="0.3">
      <c r="A279" s="91"/>
      <c r="B279" s="86"/>
      <c r="C279" s="92"/>
      <c r="D279" s="93"/>
    </row>
    <row r="280" spans="1:4" ht="59.25" customHeight="1" x14ac:dyDescent="0.3">
      <c r="A280" s="91"/>
      <c r="B280" s="86"/>
      <c r="C280" s="92"/>
      <c r="D280" s="93"/>
    </row>
    <row r="281" spans="1:4" ht="59.25" customHeight="1" x14ac:dyDescent="0.3">
      <c r="A281" s="91"/>
      <c r="B281" s="86"/>
      <c r="C281" s="92"/>
      <c r="D281" s="93"/>
    </row>
    <row r="282" spans="1:4" ht="59.25" customHeight="1" x14ac:dyDescent="0.3">
      <c r="A282" s="91"/>
      <c r="B282" s="86"/>
      <c r="C282" s="92"/>
      <c r="D282" s="93"/>
    </row>
    <row r="283" spans="1:4" ht="59.25" customHeight="1" x14ac:dyDescent="0.3">
      <c r="A283" s="91"/>
      <c r="B283" s="86"/>
      <c r="C283" s="92"/>
      <c r="D283" s="93"/>
    </row>
    <row r="284" spans="1:4" ht="59.25" customHeight="1" x14ac:dyDescent="0.3">
      <c r="A284" s="91"/>
      <c r="B284" s="86"/>
      <c r="C284" s="92"/>
      <c r="D284" s="93"/>
    </row>
    <row r="285" spans="1:4" ht="59.25" customHeight="1" x14ac:dyDescent="0.3">
      <c r="A285" s="91"/>
      <c r="B285" s="86"/>
      <c r="C285" s="92"/>
      <c r="D285" s="93"/>
    </row>
    <row r="286" spans="1:4" ht="59.25" customHeight="1" x14ac:dyDescent="0.3">
      <c r="A286" s="91"/>
      <c r="B286" s="86"/>
      <c r="C286" s="92"/>
      <c r="D286" s="93"/>
    </row>
    <row r="287" spans="1:4" ht="59.25" customHeight="1" x14ac:dyDescent="0.3">
      <c r="A287" s="91"/>
      <c r="B287" s="86"/>
      <c r="C287" s="92"/>
      <c r="D287" s="93"/>
    </row>
    <row r="288" spans="1:4" ht="59.25" customHeight="1" x14ac:dyDescent="0.3">
      <c r="A288" s="91"/>
      <c r="B288" s="86"/>
      <c r="C288" s="92"/>
      <c r="D288" s="93"/>
    </row>
    <row r="289" spans="1:13" ht="59.25" customHeight="1" x14ac:dyDescent="0.3">
      <c r="A289" s="91"/>
      <c r="B289" s="86"/>
      <c r="C289" s="92"/>
      <c r="D289" s="93"/>
    </row>
    <row r="290" spans="1:13" ht="59.25" customHeight="1" x14ac:dyDescent="0.3">
      <c r="A290" s="91"/>
      <c r="B290" s="86"/>
      <c r="C290" s="92"/>
      <c r="D290" s="93"/>
    </row>
    <row r="291" spans="1:13" ht="59.25" customHeight="1" x14ac:dyDescent="0.3">
      <c r="A291" s="91"/>
      <c r="B291" s="86"/>
      <c r="C291" s="92"/>
      <c r="D291" s="93"/>
    </row>
    <row r="292" spans="1:13" ht="59.25" customHeight="1" x14ac:dyDescent="0.3">
      <c r="A292" s="91"/>
      <c r="B292" s="86"/>
      <c r="C292" s="92"/>
      <c r="D292" s="93"/>
    </row>
    <row r="293" spans="1:13" ht="59.25" customHeight="1" x14ac:dyDescent="0.3">
      <c r="A293" s="91"/>
      <c r="B293" s="86"/>
      <c r="C293" s="92"/>
      <c r="D293" s="93"/>
    </row>
    <row r="294" spans="1:13" ht="59.25" customHeight="1" x14ac:dyDescent="0.3">
      <c r="A294" s="91"/>
      <c r="B294" s="86"/>
      <c r="C294" s="92"/>
      <c r="D294" s="93"/>
    </row>
    <row r="295" spans="1:13" ht="59.25" customHeight="1" x14ac:dyDescent="0.3">
      <c r="A295" s="91"/>
      <c r="B295" s="86"/>
      <c r="C295" s="92"/>
      <c r="D295" s="93"/>
    </row>
    <row r="296" spans="1:13" ht="59.25" customHeight="1" x14ac:dyDescent="0.3">
      <c r="A296" s="91"/>
      <c r="B296" s="86"/>
      <c r="C296" s="92"/>
      <c r="D296" s="93"/>
    </row>
    <row r="297" spans="1:13" ht="59.25" customHeight="1" x14ac:dyDescent="0.3">
      <c r="A297" s="91"/>
      <c r="B297" s="86"/>
      <c r="C297" s="92"/>
      <c r="D297" s="93"/>
    </row>
    <row r="298" spans="1:13" ht="59.25" customHeight="1" x14ac:dyDescent="0.3">
      <c r="A298" s="91"/>
      <c r="B298" s="86"/>
      <c r="C298" s="92"/>
      <c r="D298" s="93"/>
    </row>
    <row r="299" spans="1:13" ht="59.25" customHeight="1" x14ac:dyDescent="0.3">
      <c r="A299" s="91"/>
      <c r="B299" s="86"/>
      <c r="C299" s="92"/>
      <c r="D299" s="93"/>
    </row>
    <row r="300" spans="1:13" ht="59.25" customHeight="1" x14ac:dyDescent="0.3">
      <c r="A300" s="91"/>
      <c r="B300" s="86"/>
      <c r="C300" s="92"/>
      <c r="D300" s="93"/>
    </row>
    <row r="301" spans="1:13" x14ac:dyDescent="0.3">
      <c r="A301" s="45"/>
      <c r="B301" s="40"/>
      <c r="C301" s="46"/>
      <c r="D301" s="42"/>
      <c r="E301" s="47"/>
      <c r="F301" s="47"/>
      <c r="G301" s="48"/>
      <c r="H301" s="41"/>
      <c r="J301" s="44"/>
      <c r="K301" s="44"/>
      <c r="L301" s="41"/>
      <c r="M301" s="41"/>
    </row>
    <row r="302" spans="1:13" ht="66.75" customHeight="1" x14ac:dyDescent="0.3">
      <c r="A302" s="91"/>
      <c r="B302" s="86"/>
      <c r="C302" s="92"/>
      <c r="D302" s="93"/>
    </row>
    <row r="303" spans="1:13" ht="66.75" customHeight="1" x14ac:dyDescent="0.3">
      <c r="A303" s="91"/>
      <c r="B303" s="86"/>
      <c r="C303" s="92"/>
      <c r="D303" s="93"/>
    </row>
    <row r="304" spans="1:13" ht="66.75" customHeight="1" x14ac:dyDescent="0.3">
      <c r="A304" s="91"/>
      <c r="B304" s="86"/>
      <c r="C304" s="92"/>
      <c r="D304" s="93"/>
    </row>
    <row r="305" spans="1:4" ht="66.75" customHeight="1" x14ac:dyDescent="0.3">
      <c r="A305" s="91"/>
      <c r="B305" s="86"/>
      <c r="C305" s="92"/>
      <c r="D305" s="93"/>
    </row>
    <row r="306" spans="1:4" ht="66.75" customHeight="1" x14ac:dyDescent="0.3">
      <c r="A306" s="91"/>
      <c r="B306" s="86"/>
      <c r="C306" s="92"/>
      <c r="D306" s="93"/>
    </row>
    <row r="307" spans="1:4" ht="66.75" customHeight="1" x14ac:dyDescent="0.3">
      <c r="A307" s="91"/>
      <c r="B307" s="86"/>
      <c r="C307" s="92"/>
      <c r="D307" s="93"/>
    </row>
    <row r="308" spans="1:4" ht="66.75" customHeight="1" x14ac:dyDescent="0.3">
      <c r="A308" s="91"/>
      <c r="B308" s="86"/>
      <c r="C308" s="92"/>
      <c r="D308" s="93"/>
    </row>
    <row r="309" spans="1:4" ht="66.75" customHeight="1" x14ac:dyDescent="0.3">
      <c r="A309" s="91"/>
      <c r="B309" s="86"/>
      <c r="C309" s="92"/>
      <c r="D309" s="93"/>
    </row>
    <row r="310" spans="1:4" ht="66.75" customHeight="1" x14ac:dyDescent="0.3">
      <c r="A310" s="91"/>
      <c r="B310" s="86"/>
      <c r="C310" s="92"/>
      <c r="D310" s="93"/>
    </row>
    <row r="311" spans="1:4" ht="66.75" customHeight="1" x14ac:dyDescent="0.3">
      <c r="A311" s="91"/>
      <c r="B311" s="86"/>
      <c r="C311" s="92"/>
      <c r="D311" s="93"/>
    </row>
    <row r="312" spans="1:4" ht="66.75" customHeight="1" x14ac:dyDescent="0.3">
      <c r="A312" s="91"/>
      <c r="B312" s="86"/>
      <c r="C312" s="92"/>
      <c r="D312" s="93"/>
    </row>
    <row r="313" spans="1:4" ht="66.75" customHeight="1" x14ac:dyDescent="0.3">
      <c r="A313" s="91"/>
      <c r="B313" s="86"/>
      <c r="C313" s="92"/>
      <c r="D313" s="93"/>
    </row>
    <row r="314" spans="1:4" ht="66.75" customHeight="1" x14ac:dyDescent="0.3">
      <c r="A314" s="91"/>
      <c r="B314" s="86"/>
      <c r="C314" s="92"/>
      <c r="D314" s="93"/>
    </row>
    <row r="315" spans="1:4" ht="66.75" customHeight="1" x14ac:dyDescent="0.3">
      <c r="A315" s="91"/>
      <c r="B315" s="86"/>
      <c r="C315" s="92"/>
      <c r="D315" s="93"/>
    </row>
    <row r="316" spans="1:4" ht="66.75" customHeight="1" x14ac:dyDescent="0.3">
      <c r="A316" s="91"/>
      <c r="B316" s="86"/>
      <c r="C316" s="92"/>
      <c r="D316" s="93"/>
    </row>
    <row r="317" spans="1:4" ht="66.75" customHeight="1" x14ac:dyDescent="0.3">
      <c r="A317" s="91"/>
      <c r="B317" s="86"/>
      <c r="C317" s="92"/>
      <c r="D317" s="93"/>
    </row>
    <row r="318" spans="1:4" ht="66.75" customHeight="1" x14ac:dyDescent="0.3">
      <c r="A318" s="91"/>
      <c r="B318" s="86"/>
      <c r="C318" s="92"/>
      <c r="D318" s="93"/>
    </row>
    <row r="319" spans="1:4" ht="66.75" customHeight="1" x14ac:dyDescent="0.3">
      <c r="A319" s="91"/>
      <c r="B319" s="86"/>
      <c r="C319" s="92"/>
      <c r="D319" s="93"/>
    </row>
    <row r="320" spans="1:4" ht="66.75" customHeight="1" x14ac:dyDescent="0.3">
      <c r="A320" s="91"/>
      <c r="B320" s="86"/>
      <c r="C320" s="92"/>
      <c r="D320" s="93"/>
    </row>
    <row r="321" spans="1:13" ht="66.75" customHeight="1" x14ac:dyDescent="0.3">
      <c r="A321" s="91"/>
      <c r="B321" s="86"/>
      <c r="C321" s="92"/>
      <c r="D321" s="93"/>
    </row>
    <row r="322" spans="1:13" ht="66.75" customHeight="1" x14ac:dyDescent="0.3">
      <c r="A322" s="91"/>
      <c r="B322" s="86"/>
      <c r="C322" s="92"/>
      <c r="D322" s="93"/>
    </row>
    <row r="323" spans="1:13" ht="66.75" customHeight="1" x14ac:dyDescent="0.3">
      <c r="A323" s="91"/>
      <c r="B323" s="86"/>
      <c r="C323" s="92"/>
      <c r="D323" s="93"/>
    </row>
    <row r="324" spans="1:13" ht="66.75" customHeight="1" x14ac:dyDescent="0.3">
      <c r="A324" s="91"/>
      <c r="B324" s="86"/>
      <c r="C324" s="92"/>
      <c r="D324" s="93"/>
    </row>
    <row r="325" spans="1:13" ht="66.75" customHeight="1" x14ac:dyDescent="0.3">
      <c r="A325" s="91"/>
      <c r="B325" s="86"/>
      <c r="C325" s="92"/>
      <c r="D325" s="93"/>
    </row>
    <row r="326" spans="1:13" ht="66.75" customHeight="1" x14ac:dyDescent="0.3">
      <c r="A326" s="91"/>
      <c r="B326" s="86"/>
      <c r="C326" s="92"/>
      <c r="D326" s="93"/>
    </row>
    <row r="327" spans="1:13" ht="66.75" customHeight="1" x14ac:dyDescent="0.3">
      <c r="A327" s="91"/>
      <c r="B327" s="86"/>
      <c r="C327" s="92"/>
      <c r="D327" s="93"/>
    </row>
    <row r="328" spans="1:13" ht="66.75" customHeight="1" x14ac:dyDescent="0.3">
      <c r="A328" s="91"/>
      <c r="B328" s="86"/>
      <c r="C328" s="92"/>
      <c r="D328" s="93"/>
    </row>
    <row r="329" spans="1:13" ht="66.75" customHeight="1" x14ac:dyDescent="0.3">
      <c r="A329" s="91"/>
      <c r="B329" s="86"/>
      <c r="C329" s="92"/>
      <c r="D329" s="93"/>
    </row>
    <row r="330" spans="1:13" ht="66.75" customHeight="1" x14ac:dyDescent="0.3">
      <c r="A330" s="91"/>
      <c r="B330" s="86"/>
      <c r="C330" s="92"/>
      <c r="D330" s="93"/>
    </row>
    <row r="331" spans="1:13" ht="66.75" customHeight="1" x14ac:dyDescent="0.3">
      <c r="A331" s="91"/>
      <c r="B331" s="86"/>
      <c r="C331" s="92"/>
      <c r="D331" s="93"/>
    </row>
    <row r="332" spans="1:13" ht="18" x14ac:dyDescent="0.3">
      <c r="A332" s="79"/>
      <c r="B332" s="79"/>
      <c r="C332" s="79"/>
      <c r="D332" s="79"/>
      <c r="E332" s="79"/>
      <c r="F332" s="79"/>
      <c r="G332" s="79"/>
      <c r="H332" s="79"/>
      <c r="I332" s="79"/>
      <c r="J332" s="79"/>
      <c r="K332" s="79"/>
      <c r="L332" s="79"/>
      <c r="M332" s="49"/>
    </row>
    <row r="333" spans="1:13" ht="18" x14ac:dyDescent="0.3">
      <c r="A333" s="79"/>
      <c r="B333" s="79"/>
      <c r="C333" s="79"/>
      <c r="D333" s="79"/>
      <c r="E333" s="79"/>
      <c r="F333" s="79"/>
      <c r="G333" s="79"/>
      <c r="H333" s="79"/>
      <c r="I333" s="79"/>
      <c r="J333" s="79"/>
      <c r="K333" s="79"/>
      <c r="L333" s="79"/>
      <c r="M333" s="49"/>
    </row>
    <row r="334" spans="1:13" ht="18" x14ac:dyDescent="0.3">
      <c r="A334" s="79"/>
      <c r="B334" s="79"/>
      <c r="C334" s="79"/>
      <c r="D334" s="79"/>
      <c r="E334" s="79"/>
      <c r="F334" s="79"/>
      <c r="G334" s="79"/>
      <c r="H334" s="79"/>
      <c r="I334" s="79"/>
      <c r="J334" s="79"/>
      <c r="K334" s="79"/>
      <c r="L334" s="79"/>
      <c r="M334" s="49"/>
    </row>
    <row r="335" spans="1:13" ht="18" x14ac:dyDescent="0.3">
      <c r="A335" s="79"/>
      <c r="B335" s="79"/>
      <c r="C335" s="79"/>
      <c r="D335" s="79"/>
      <c r="E335" s="79"/>
      <c r="F335" s="79"/>
      <c r="G335" s="79"/>
      <c r="H335" s="79"/>
      <c r="I335" s="79"/>
      <c r="J335" s="79"/>
      <c r="K335" s="79"/>
      <c r="L335" s="79"/>
      <c r="M335" s="49"/>
    </row>
    <row r="336" spans="1:13" ht="18" x14ac:dyDescent="0.3">
      <c r="A336" s="79"/>
      <c r="B336" s="79"/>
      <c r="C336" s="79"/>
      <c r="D336" s="79"/>
      <c r="E336" s="79"/>
      <c r="F336" s="79"/>
      <c r="G336" s="79"/>
      <c r="H336" s="79"/>
      <c r="I336" s="79"/>
      <c r="J336" s="79"/>
      <c r="K336" s="79"/>
      <c r="L336" s="79"/>
      <c r="M336" s="49"/>
    </row>
    <row r="337" spans="1:15" ht="126.75" customHeight="1" x14ac:dyDescent="0.3">
      <c r="A337" s="89"/>
      <c r="B337" s="90"/>
      <c r="C337" s="84"/>
      <c r="D337" s="83"/>
      <c r="E337" s="52"/>
      <c r="F337" s="52"/>
      <c r="G337" s="53"/>
      <c r="I337" s="54"/>
      <c r="N337" s="55"/>
      <c r="O337" s="55"/>
    </row>
    <row r="338" spans="1:15" ht="25.8" x14ac:dyDescent="0.3">
      <c r="A338" s="89"/>
      <c r="B338" s="90"/>
      <c r="C338" s="84"/>
      <c r="D338" s="83"/>
      <c r="E338" s="52"/>
      <c r="F338" s="52"/>
      <c r="G338" s="53"/>
      <c r="I338" s="56"/>
      <c r="N338" s="55"/>
      <c r="O338" s="55"/>
    </row>
    <row r="339" spans="1:15" ht="25.8" x14ac:dyDescent="0.3">
      <c r="A339" s="89"/>
      <c r="B339" s="90"/>
      <c r="C339" s="84"/>
      <c r="D339" s="83"/>
      <c r="E339" s="52"/>
      <c r="F339" s="52"/>
      <c r="G339" s="53"/>
    </row>
    <row r="340" spans="1:15" ht="25.8" x14ac:dyDescent="0.3">
      <c r="A340" s="89"/>
      <c r="B340" s="90"/>
      <c r="C340" s="84"/>
      <c r="D340" s="83"/>
      <c r="E340" s="52"/>
      <c r="F340" s="52"/>
      <c r="G340" s="53"/>
    </row>
    <row r="341" spans="1:15" ht="25.8" x14ac:dyDescent="0.3">
      <c r="A341" s="89"/>
      <c r="B341" s="90"/>
      <c r="C341" s="84"/>
      <c r="D341" s="83"/>
      <c r="E341" s="52"/>
      <c r="F341" s="52"/>
      <c r="G341" s="53"/>
    </row>
    <row r="342" spans="1:15" ht="25.8" x14ac:dyDescent="0.3">
      <c r="A342" s="89"/>
      <c r="B342" s="90"/>
      <c r="C342" s="84"/>
      <c r="D342" s="83"/>
      <c r="E342" s="52"/>
      <c r="F342" s="52"/>
      <c r="G342" s="53"/>
    </row>
    <row r="343" spans="1:15" ht="25.8" x14ac:dyDescent="0.3">
      <c r="A343" s="89"/>
      <c r="B343" s="90"/>
      <c r="C343" s="84"/>
      <c r="D343" s="83"/>
      <c r="E343" s="52"/>
      <c r="F343" s="52"/>
      <c r="G343" s="53"/>
    </row>
    <row r="344" spans="1:15" ht="25.8" x14ac:dyDescent="0.3">
      <c r="A344" s="89"/>
      <c r="B344" s="90"/>
      <c r="C344" s="84"/>
      <c r="D344" s="83"/>
      <c r="E344" s="52"/>
      <c r="F344" s="52"/>
      <c r="G344" s="53"/>
    </row>
    <row r="345" spans="1:15" ht="25.8" x14ac:dyDescent="0.3">
      <c r="A345" s="89"/>
      <c r="B345" s="90"/>
      <c r="C345" s="84"/>
      <c r="D345" s="83"/>
      <c r="E345" s="52"/>
      <c r="F345" s="52"/>
      <c r="G345" s="53"/>
    </row>
    <row r="346" spans="1:15" ht="25.8" x14ac:dyDescent="0.3">
      <c r="A346" s="89"/>
      <c r="B346" s="90"/>
      <c r="C346" s="84"/>
      <c r="D346" s="83"/>
      <c r="E346" s="52"/>
      <c r="F346" s="52"/>
      <c r="G346" s="53"/>
    </row>
    <row r="347" spans="1:15" ht="25.8" x14ac:dyDescent="0.3">
      <c r="A347" s="89"/>
      <c r="B347" s="90"/>
      <c r="C347" s="84"/>
      <c r="D347" s="83"/>
      <c r="E347" s="52"/>
      <c r="F347" s="52"/>
      <c r="G347" s="53"/>
    </row>
    <row r="348" spans="1:15" ht="25.8" x14ac:dyDescent="0.3">
      <c r="A348" s="89"/>
      <c r="B348" s="90"/>
      <c r="C348" s="84"/>
      <c r="D348" s="83"/>
      <c r="E348" s="52"/>
      <c r="F348" s="52"/>
      <c r="G348" s="53"/>
    </row>
    <row r="349" spans="1:15" ht="25.8" x14ac:dyDescent="0.3">
      <c r="A349" s="89"/>
      <c r="B349" s="90"/>
      <c r="C349" s="84"/>
      <c r="D349" s="83"/>
      <c r="E349" s="52"/>
      <c r="F349" s="52"/>
      <c r="G349" s="53"/>
    </row>
    <row r="350" spans="1:15" ht="25.8" x14ac:dyDescent="0.3">
      <c r="A350" s="89"/>
      <c r="B350" s="90"/>
      <c r="C350" s="84"/>
      <c r="D350" s="83"/>
      <c r="E350" s="52"/>
      <c r="F350" s="52"/>
      <c r="G350" s="53"/>
    </row>
    <row r="351" spans="1:15" ht="25.8" x14ac:dyDescent="0.3">
      <c r="A351" s="89"/>
      <c r="B351" s="90"/>
      <c r="C351" s="84"/>
      <c r="D351" s="83"/>
      <c r="E351" s="52"/>
      <c r="F351" s="52"/>
      <c r="G351" s="53"/>
    </row>
    <row r="352" spans="1:15" ht="25.8" x14ac:dyDescent="0.3">
      <c r="A352" s="89"/>
      <c r="B352" s="90"/>
      <c r="C352" s="84"/>
      <c r="D352" s="83"/>
      <c r="E352" s="52"/>
      <c r="F352" s="52"/>
      <c r="G352" s="53"/>
    </row>
    <row r="353" spans="1:7" ht="25.8" x14ac:dyDescent="0.3">
      <c r="A353" s="89"/>
      <c r="B353" s="90"/>
      <c r="C353" s="84"/>
      <c r="D353" s="83"/>
      <c r="E353" s="52"/>
      <c r="F353" s="52"/>
      <c r="G353" s="53"/>
    </row>
    <row r="354" spans="1:7" ht="25.8" x14ac:dyDescent="0.3">
      <c r="A354" s="89"/>
      <c r="B354" s="90"/>
      <c r="C354" s="84"/>
      <c r="D354" s="83"/>
      <c r="E354" s="52"/>
      <c r="F354" s="52"/>
      <c r="G354" s="53"/>
    </row>
    <row r="355" spans="1:7" ht="25.8" x14ac:dyDescent="0.3">
      <c r="A355" s="89"/>
      <c r="B355" s="90"/>
      <c r="C355" s="84"/>
      <c r="D355" s="83"/>
      <c r="E355" s="52"/>
      <c r="F355" s="52"/>
      <c r="G355" s="53"/>
    </row>
    <row r="356" spans="1:7" ht="25.8" x14ac:dyDescent="0.3">
      <c r="A356" s="89"/>
      <c r="B356" s="90"/>
      <c r="C356" s="84"/>
      <c r="D356" s="83"/>
      <c r="E356" s="52"/>
      <c r="F356" s="52"/>
      <c r="G356" s="53"/>
    </row>
    <row r="357" spans="1:7" ht="25.8" x14ac:dyDescent="0.3">
      <c r="A357" s="89"/>
      <c r="B357" s="90"/>
      <c r="C357" s="84"/>
      <c r="D357" s="83"/>
      <c r="E357" s="52"/>
      <c r="F357" s="52"/>
      <c r="G357" s="53"/>
    </row>
    <row r="358" spans="1:7" ht="25.8" x14ac:dyDescent="0.3">
      <c r="A358" s="89"/>
      <c r="B358" s="90"/>
      <c r="C358" s="84"/>
      <c r="D358" s="83"/>
      <c r="E358" s="52"/>
      <c r="F358" s="52"/>
      <c r="G358" s="53"/>
    </row>
    <row r="359" spans="1:7" ht="25.8" x14ac:dyDescent="0.3">
      <c r="A359" s="89"/>
      <c r="B359" s="90"/>
      <c r="C359" s="84"/>
      <c r="D359" s="83"/>
      <c r="E359" s="52"/>
      <c r="F359" s="52"/>
      <c r="G359" s="53"/>
    </row>
    <row r="360" spans="1:7" ht="25.8" x14ac:dyDescent="0.3">
      <c r="A360" s="89"/>
      <c r="B360" s="90"/>
      <c r="C360" s="84"/>
      <c r="D360" s="83"/>
      <c r="E360" s="52"/>
      <c r="F360" s="52"/>
      <c r="G360" s="53"/>
    </row>
    <row r="361" spans="1:7" ht="25.8" x14ac:dyDescent="0.3">
      <c r="A361" s="89"/>
      <c r="B361" s="90"/>
      <c r="C361" s="84"/>
      <c r="D361" s="83"/>
      <c r="E361" s="52"/>
      <c r="F361" s="52"/>
      <c r="G361" s="53"/>
    </row>
    <row r="362" spans="1:7" ht="25.8" x14ac:dyDescent="0.3">
      <c r="A362" s="89"/>
      <c r="B362" s="90"/>
      <c r="C362" s="84"/>
      <c r="D362" s="83"/>
      <c r="E362" s="52"/>
      <c r="F362" s="52"/>
      <c r="G362" s="53"/>
    </row>
    <row r="363" spans="1:7" ht="25.8" x14ac:dyDescent="0.3">
      <c r="A363" s="89"/>
      <c r="B363" s="90"/>
      <c r="C363" s="84"/>
      <c r="D363" s="83"/>
      <c r="E363" s="52"/>
      <c r="F363" s="52"/>
      <c r="G363" s="53"/>
    </row>
    <row r="364" spans="1:7" ht="25.8" x14ac:dyDescent="0.3">
      <c r="A364" s="89"/>
      <c r="B364" s="90"/>
      <c r="C364" s="84"/>
      <c r="D364" s="83"/>
      <c r="E364" s="52"/>
      <c r="F364" s="52"/>
      <c r="G364" s="53"/>
    </row>
    <row r="365" spans="1:7" ht="27.6" x14ac:dyDescent="0.3">
      <c r="A365" s="89"/>
      <c r="B365" s="90"/>
      <c r="C365" s="50"/>
      <c r="D365" s="51"/>
      <c r="E365" s="52"/>
      <c r="F365" s="52"/>
      <c r="G365" s="53"/>
    </row>
    <row r="366" spans="1:7" ht="27.6" x14ac:dyDescent="0.3">
      <c r="A366" s="89"/>
      <c r="B366" s="90"/>
      <c r="C366" s="50"/>
      <c r="D366" s="51"/>
      <c r="E366" s="52"/>
      <c r="F366" s="52"/>
      <c r="G366" s="53"/>
    </row>
    <row r="367" spans="1:7" ht="25.8" x14ac:dyDescent="0.3">
      <c r="A367" s="89"/>
      <c r="B367" s="90"/>
      <c r="C367" s="84"/>
      <c r="D367" s="83"/>
      <c r="E367" s="52"/>
      <c r="F367" s="52"/>
      <c r="G367" s="53"/>
    </row>
    <row r="368" spans="1:7" ht="25.8" x14ac:dyDescent="0.3">
      <c r="A368" s="89"/>
      <c r="B368" s="90"/>
      <c r="C368" s="84"/>
      <c r="D368" s="83"/>
      <c r="E368" s="52"/>
      <c r="F368" s="52"/>
      <c r="G368" s="53"/>
    </row>
    <row r="369" spans="1:13" ht="25.8" x14ac:dyDescent="0.3">
      <c r="A369" s="89"/>
      <c r="B369" s="90"/>
      <c r="C369" s="84"/>
      <c r="D369" s="83"/>
      <c r="E369" s="52"/>
      <c r="F369" s="52"/>
      <c r="G369" s="53"/>
    </row>
    <row r="370" spans="1:13" ht="25.8" x14ac:dyDescent="0.3">
      <c r="A370" s="89"/>
      <c r="B370" s="90"/>
      <c r="C370" s="84"/>
      <c r="D370" s="83"/>
      <c r="E370" s="52"/>
      <c r="F370" s="52"/>
      <c r="G370" s="53"/>
    </row>
    <row r="371" spans="1:13" ht="25.8" x14ac:dyDescent="0.3">
      <c r="A371" s="89"/>
      <c r="B371" s="90"/>
      <c r="C371" s="84"/>
      <c r="D371" s="83"/>
      <c r="E371" s="52"/>
      <c r="F371" s="52"/>
      <c r="G371" s="53"/>
    </row>
    <row r="372" spans="1:13" ht="25.8" x14ac:dyDescent="0.3">
      <c r="A372" s="89"/>
      <c r="B372" s="90"/>
      <c r="C372" s="84"/>
      <c r="D372" s="83"/>
      <c r="E372" s="52"/>
      <c r="F372" s="52"/>
      <c r="G372" s="53"/>
    </row>
    <row r="373" spans="1:13" ht="25.8" x14ac:dyDescent="0.3">
      <c r="A373" s="89"/>
      <c r="B373" s="90"/>
      <c r="C373" s="84"/>
      <c r="D373" s="83"/>
      <c r="E373" s="52"/>
      <c r="F373" s="52"/>
      <c r="G373" s="53"/>
    </row>
    <row r="374" spans="1:13" ht="25.8" x14ac:dyDescent="0.3">
      <c r="A374" s="89"/>
      <c r="B374" s="90"/>
      <c r="C374" s="84"/>
      <c r="D374" s="83"/>
      <c r="E374" s="52"/>
      <c r="F374" s="52"/>
      <c r="G374" s="53"/>
    </row>
    <row r="375" spans="1:13" ht="25.8" x14ac:dyDescent="0.3">
      <c r="A375" s="89"/>
      <c r="B375" s="90"/>
      <c r="C375" s="84"/>
      <c r="D375" s="83"/>
      <c r="E375" s="52"/>
      <c r="F375" s="52"/>
      <c r="G375" s="53"/>
    </row>
    <row r="376" spans="1:13" ht="25.8" x14ac:dyDescent="0.3">
      <c r="A376" s="89"/>
      <c r="B376" s="90"/>
      <c r="C376" s="84"/>
      <c r="D376" s="83"/>
      <c r="E376" s="52"/>
      <c r="F376" s="52"/>
      <c r="G376" s="53"/>
    </row>
    <row r="377" spans="1:13" ht="25.8" x14ac:dyDescent="0.3">
      <c r="A377" s="89"/>
      <c r="B377" s="90"/>
      <c r="C377" s="84"/>
      <c r="D377" s="83"/>
      <c r="E377" s="52"/>
      <c r="F377" s="52"/>
      <c r="G377" s="53"/>
    </row>
    <row r="378" spans="1:13" ht="11.25" customHeight="1" x14ac:dyDescent="0.3">
      <c r="A378" s="79"/>
      <c r="B378" s="79"/>
      <c r="C378" s="79"/>
      <c r="D378" s="79"/>
      <c r="E378" s="79"/>
      <c r="F378" s="79"/>
      <c r="G378" s="79"/>
      <c r="H378" s="79"/>
      <c r="I378" s="79"/>
      <c r="J378" s="79"/>
      <c r="K378" s="79"/>
      <c r="L378" s="79"/>
      <c r="M378" s="49"/>
    </row>
    <row r="379" spans="1:13" ht="11.25" customHeight="1" x14ac:dyDescent="0.3">
      <c r="A379" s="79"/>
      <c r="B379" s="79"/>
      <c r="C379" s="79"/>
      <c r="D379" s="79"/>
      <c r="E379" s="79"/>
      <c r="F379" s="79"/>
      <c r="G379" s="79"/>
      <c r="H379" s="79"/>
      <c r="I379" s="79"/>
      <c r="J379" s="79"/>
      <c r="K379" s="79"/>
      <c r="L379" s="79"/>
      <c r="M379" s="49"/>
    </row>
    <row r="380" spans="1:13" ht="11.25" customHeight="1" x14ac:dyDescent="0.3">
      <c r="A380" s="79"/>
      <c r="B380" s="79"/>
      <c r="C380" s="79"/>
      <c r="D380" s="79"/>
      <c r="E380" s="79"/>
      <c r="F380" s="79"/>
      <c r="G380" s="79"/>
      <c r="H380" s="79"/>
      <c r="I380" s="79"/>
      <c r="J380" s="79"/>
      <c r="K380" s="79"/>
      <c r="L380" s="79"/>
      <c r="M380" s="49"/>
    </row>
    <row r="381" spans="1:13" ht="11.25" customHeight="1" x14ac:dyDescent="0.3">
      <c r="A381" s="79"/>
      <c r="B381" s="79"/>
      <c r="C381" s="79"/>
      <c r="D381" s="79"/>
      <c r="E381" s="79"/>
      <c r="F381" s="79"/>
      <c r="G381" s="79"/>
      <c r="H381" s="79"/>
      <c r="I381" s="79"/>
      <c r="J381" s="79"/>
      <c r="K381" s="79"/>
      <c r="L381" s="79"/>
      <c r="M381" s="49"/>
    </row>
    <row r="382" spans="1:13" ht="11.25" customHeight="1" x14ac:dyDescent="0.3">
      <c r="A382" s="79"/>
      <c r="B382" s="79"/>
      <c r="C382" s="79"/>
      <c r="D382" s="79"/>
      <c r="E382" s="79"/>
      <c r="F382" s="79"/>
      <c r="G382" s="79"/>
      <c r="H382" s="79"/>
      <c r="I382" s="79"/>
      <c r="J382" s="79"/>
      <c r="K382" s="79"/>
      <c r="L382" s="79"/>
      <c r="M382" s="49"/>
    </row>
    <row r="383" spans="1:13" ht="61.5" customHeight="1" x14ac:dyDescent="0.3">
      <c r="A383" s="85"/>
      <c r="B383" s="86"/>
      <c r="C383" s="87"/>
      <c r="D383" s="88"/>
      <c r="E383" s="15"/>
      <c r="F383" s="15"/>
      <c r="G383" s="15"/>
    </row>
    <row r="384" spans="1:13" ht="61.5" customHeight="1" x14ac:dyDescent="0.3">
      <c r="A384" s="85"/>
      <c r="B384" s="86"/>
      <c r="C384" s="87"/>
      <c r="D384" s="88"/>
      <c r="E384" s="15"/>
      <c r="F384" s="15"/>
      <c r="G384" s="15"/>
    </row>
    <row r="385" spans="1:7" ht="61.5" customHeight="1" x14ac:dyDescent="0.3">
      <c r="A385" s="85"/>
      <c r="B385" s="86"/>
      <c r="C385" s="87"/>
      <c r="D385" s="88"/>
      <c r="E385" s="15"/>
      <c r="F385" s="15"/>
      <c r="G385" s="15"/>
    </row>
    <row r="386" spans="1:7" ht="61.5" customHeight="1" x14ac:dyDescent="0.3">
      <c r="A386" s="85"/>
      <c r="B386" s="86"/>
      <c r="C386" s="87"/>
      <c r="D386" s="88"/>
      <c r="E386" s="15"/>
      <c r="F386" s="15"/>
      <c r="G386" s="15"/>
    </row>
    <row r="387" spans="1:7" ht="61.5" customHeight="1" x14ac:dyDescent="0.3">
      <c r="A387" s="85"/>
      <c r="B387" s="86"/>
      <c r="C387" s="87"/>
      <c r="D387" s="88"/>
      <c r="E387" s="15"/>
      <c r="F387" s="15"/>
      <c r="G387" s="15"/>
    </row>
    <row r="388" spans="1:7" ht="61.5" customHeight="1" x14ac:dyDescent="0.3">
      <c r="A388" s="85"/>
      <c r="B388" s="86"/>
      <c r="C388" s="87"/>
      <c r="D388" s="88"/>
      <c r="E388" s="15"/>
      <c r="F388" s="15"/>
      <c r="G388" s="15"/>
    </row>
    <row r="389" spans="1:7" ht="61.5" customHeight="1" x14ac:dyDescent="0.3">
      <c r="A389" s="85"/>
      <c r="B389" s="86"/>
      <c r="C389" s="87"/>
      <c r="D389" s="88"/>
      <c r="E389" s="15"/>
      <c r="F389" s="15"/>
      <c r="G389" s="15"/>
    </row>
    <row r="390" spans="1:7" ht="61.5" customHeight="1" x14ac:dyDescent="0.3">
      <c r="A390" s="85"/>
      <c r="B390" s="86"/>
      <c r="C390" s="87"/>
      <c r="D390" s="88"/>
      <c r="E390" s="15"/>
      <c r="F390" s="15"/>
      <c r="G390" s="15"/>
    </row>
    <row r="391" spans="1:7" ht="61.5" customHeight="1" x14ac:dyDescent="0.3">
      <c r="A391" s="85"/>
      <c r="B391" s="86"/>
      <c r="C391" s="87"/>
      <c r="D391" s="88"/>
      <c r="E391" s="15"/>
      <c r="F391" s="15"/>
      <c r="G391" s="15"/>
    </row>
    <row r="392" spans="1:7" ht="61.5" customHeight="1" x14ac:dyDescent="0.3">
      <c r="A392" s="85"/>
      <c r="B392" s="86"/>
      <c r="C392" s="87"/>
      <c r="D392" s="88"/>
      <c r="E392" s="15"/>
      <c r="F392" s="15"/>
      <c r="G392" s="15"/>
    </row>
    <row r="393" spans="1:7" ht="61.5" customHeight="1" x14ac:dyDescent="0.3">
      <c r="A393" s="85"/>
      <c r="B393" s="86"/>
      <c r="C393" s="87"/>
      <c r="D393" s="88"/>
      <c r="E393" s="15"/>
      <c r="F393" s="15"/>
      <c r="G393" s="15"/>
    </row>
    <row r="394" spans="1:7" ht="61.5" customHeight="1" x14ac:dyDescent="0.3">
      <c r="A394" s="85"/>
      <c r="B394" s="86"/>
      <c r="C394" s="87"/>
      <c r="D394" s="88"/>
      <c r="E394" s="15"/>
      <c r="F394" s="15"/>
      <c r="G394" s="15"/>
    </row>
    <row r="395" spans="1:7" ht="61.5" customHeight="1" x14ac:dyDescent="0.3">
      <c r="A395" s="85"/>
      <c r="B395" s="86"/>
      <c r="C395" s="87"/>
      <c r="D395" s="88"/>
      <c r="E395" s="15"/>
      <c r="F395" s="15"/>
      <c r="G395" s="15"/>
    </row>
    <row r="396" spans="1:7" ht="61.5" customHeight="1" x14ac:dyDescent="0.3">
      <c r="A396" s="85"/>
      <c r="B396" s="86"/>
      <c r="C396" s="87"/>
      <c r="D396" s="88"/>
      <c r="E396" s="15"/>
      <c r="F396" s="15"/>
      <c r="G396" s="15"/>
    </row>
    <row r="397" spans="1:7" ht="61.5" customHeight="1" x14ac:dyDescent="0.3">
      <c r="A397" s="85"/>
      <c r="B397" s="86"/>
      <c r="C397" s="87"/>
      <c r="D397" s="88"/>
      <c r="E397" s="15"/>
      <c r="F397" s="15"/>
      <c r="G397" s="15"/>
    </row>
    <row r="398" spans="1:7" ht="61.5" customHeight="1" x14ac:dyDescent="0.3">
      <c r="A398" s="85"/>
      <c r="B398" s="86"/>
      <c r="C398" s="87"/>
      <c r="D398" s="88"/>
      <c r="E398" s="15"/>
      <c r="F398" s="15"/>
      <c r="G398" s="15"/>
    </row>
    <row r="399" spans="1:7" ht="61.5" customHeight="1" x14ac:dyDescent="0.3">
      <c r="A399" s="85"/>
      <c r="B399" s="86"/>
      <c r="C399" s="87"/>
      <c r="D399" s="88"/>
      <c r="E399" s="15"/>
      <c r="F399" s="15"/>
      <c r="G399" s="15"/>
    </row>
    <row r="400" spans="1:7" ht="61.5" customHeight="1" x14ac:dyDescent="0.3">
      <c r="A400" s="85"/>
      <c r="B400" s="86"/>
      <c r="C400" s="87"/>
      <c r="D400" s="88"/>
      <c r="E400" s="15"/>
      <c r="F400" s="15"/>
      <c r="G400" s="15"/>
    </row>
    <row r="401" spans="1:7" ht="61.5" customHeight="1" x14ac:dyDescent="0.3">
      <c r="A401" s="85"/>
      <c r="B401" s="86"/>
      <c r="C401" s="87"/>
      <c r="D401" s="88"/>
      <c r="E401" s="15"/>
      <c r="F401" s="15"/>
      <c r="G401" s="15"/>
    </row>
    <row r="402" spans="1:7" ht="61.5" customHeight="1" x14ac:dyDescent="0.3">
      <c r="A402" s="85"/>
      <c r="B402" s="86"/>
      <c r="C402" s="87"/>
      <c r="D402" s="88"/>
      <c r="E402" s="15"/>
      <c r="F402" s="15"/>
      <c r="G402" s="15"/>
    </row>
    <row r="403" spans="1:7" ht="61.5" customHeight="1" x14ac:dyDescent="0.3">
      <c r="A403" s="85"/>
      <c r="B403" s="86"/>
      <c r="C403" s="87"/>
      <c r="D403" s="88"/>
      <c r="E403" s="15"/>
      <c r="F403" s="15"/>
      <c r="G403" s="15"/>
    </row>
    <row r="404" spans="1:7" ht="61.5" customHeight="1" x14ac:dyDescent="0.3">
      <c r="A404" s="85"/>
      <c r="B404" s="86"/>
      <c r="C404" s="87"/>
      <c r="D404" s="88"/>
      <c r="E404" s="15"/>
      <c r="F404" s="15"/>
      <c r="G404" s="15"/>
    </row>
    <row r="405" spans="1:7" ht="61.5" customHeight="1" x14ac:dyDescent="0.3">
      <c r="A405" s="85"/>
      <c r="B405" s="86"/>
      <c r="C405" s="87"/>
      <c r="D405" s="88"/>
      <c r="E405" s="15"/>
      <c r="F405" s="15"/>
      <c r="G405" s="15"/>
    </row>
    <row r="406" spans="1:7" ht="61.5" customHeight="1" x14ac:dyDescent="0.3">
      <c r="A406" s="85"/>
      <c r="B406" s="86"/>
      <c r="C406" s="87"/>
      <c r="D406" s="88"/>
      <c r="E406" s="15"/>
      <c r="F406" s="15"/>
      <c r="G406" s="15"/>
    </row>
    <row r="407" spans="1:7" ht="61.5" customHeight="1" x14ac:dyDescent="0.3">
      <c r="A407" s="85"/>
      <c r="B407" s="86"/>
      <c r="C407" s="87"/>
      <c r="D407" s="88"/>
      <c r="E407" s="15"/>
      <c r="F407" s="15"/>
      <c r="G407" s="15"/>
    </row>
    <row r="408" spans="1:7" ht="61.5" customHeight="1" x14ac:dyDescent="0.3">
      <c r="A408" s="85"/>
      <c r="B408" s="86"/>
      <c r="C408" s="87"/>
      <c r="D408" s="88"/>
      <c r="E408" s="15"/>
      <c r="F408" s="15"/>
      <c r="G408" s="15"/>
    </row>
    <row r="409" spans="1:7" ht="61.5" customHeight="1" x14ac:dyDescent="0.3">
      <c r="A409" s="85"/>
      <c r="B409" s="86"/>
      <c r="C409" s="87"/>
      <c r="D409" s="88"/>
      <c r="E409" s="15"/>
      <c r="F409" s="15"/>
      <c r="G409" s="15"/>
    </row>
    <row r="410" spans="1:7" ht="61.5" customHeight="1" x14ac:dyDescent="0.3">
      <c r="A410" s="85"/>
      <c r="B410" s="86"/>
      <c r="C410" s="87"/>
      <c r="D410" s="88"/>
      <c r="E410" s="15"/>
      <c r="F410" s="15"/>
      <c r="G410" s="15"/>
    </row>
    <row r="411" spans="1:7" ht="61.5" customHeight="1" x14ac:dyDescent="0.3">
      <c r="A411" s="85"/>
      <c r="B411" s="86"/>
      <c r="C411" s="87"/>
      <c r="D411" s="88"/>
      <c r="E411" s="15"/>
      <c r="F411" s="15"/>
      <c r="G411" s="15"/>
    </row>
    <row r="412" spans="1:7" ht="61.5" customHeight="1" x14ac:dyDescent="0.3">
      <c r="A412" s="85"/>
      <c r="B412" s="86"/>
      <c r="C412" s="87"/>
      <c r="D412" s="88"/>
      <c r="E412" s="15"/>
      <c r="F412" s="15"/>
      <c r="G412" s="15"/>
    </row>
    <row r="413" spans="1:7" ht="61.5" customHeight="1" x14ac:dyDescent="0.3">
      <c r="A413" s="85"/>
      <c r="B413" s="86"/>
      <c r="C413" s="87"/>
      <c r="D413" s="88"/>
      <c r="E413" s="15"/>
      <c r="F413" s="15"/>
      <c r="G413" s="15"/>
    </row>
    <row r="414" spans="1:7" ht="61.5" customHeight="1" x14ac:dyDescent="0.3">
      <c r="A414" s="85"/>
      <c r="B414" s="86"/>
      <c r="C414" s="87"/>
      <c r="D414" s="88"/>
      <c r="E414" s="15"/>
      <c r="F414" s="15"/>
      <c r="G414" s="15"/>
    </row>
    <row r="415" spans="1:7" ht="61.5" customHeight="1" x14ac:dyDescent="0.3">
      <c r="A415" s="85"/>
      <c r="B415" s="86"/>
      <c r="C415" s="87"/>
      <c r="D415" s="88"/>
      <c r="E415" s="15"/>
      <c r="F415" s="15"/>
      <c r="G415" s="15"/>
    </row>
    <row r="416" spans="1:7" ht="61.5" customHeight="1" x14ac:dyDescent="0.3">
      <c r="A416" s="85"/>
      <c r="B416" s="86"/>
      <c r="C416" s="87"/>
      <c r="D416" s="88"/>
      <c r="E416" s="15"/>
      <c r="F416" s="15"/>
      <c r="G416" s="15"/>
    </row>
    <row r="417" spans="1:13" ht="61.5" customHeight="1" x14ac:dyDescent="0.3">
      <c r="A417" s="85"/>
      <c r="B417" s="86"/>
      <c r="C417" s="87"/>
      <c r="D417" s="88"/>
      <c r="E417" s="15"/>
      <c r="F417" s="15"/>
      <c r="G417" s="15"/>
    </row>
    <row r="418" spans="1:13" ht="61.5" customHeight="1" x14ac:dyDescent="0.3">
      <c r="A418" s="85"/>
      <c r="B418" s="86"/>
      <c r="C418" s="87"/>
      <c r="D418" s="88"/>
      <c r="E418" s="15"/>
      <c r="F418" s="15"/>
      <c r="G418" s="15"/>
    </row>
    <row r="419" spans="1:13" ht="61.5" customHeight="1" x14ac:dyDescent="0.3">
      <c r="A419" s="85"/>
      <c r="B419" s="86"/>
      <c r="C419" s="87"/>
      <c r="D419" s="88"/>
      <c r="E419" s="15"/>
      <c r="F419" s="15"/>
      <c r="G419" s="15"/>
    </row>
    <row r="420" spans="1:13" ht="61.5" customHeight="1" x14ac:dyDescent="0.3">
      <c r="A420" s="85"/>
      <c r="B420" s="86"/>
      <c r="C420" s="87"/>
      <c r="D420" s="88"/>
      <c r="E420" s="15"/>
      <c r="F420" s="15"/>
      <c r="G420" s="15"/>
    </row>
    <row r="421" spans="1:13" ht="61.5" customHeight="1" x14ac:dyDescent="0.3">
      <c r="A421" s="85"/>
      <c r="B421" s="86"/>
      <c r="C421" s="87"/>
      <c r="D421" s="88"/>
      <c r="E421" s="15"/>
      <c r="F421" s="15"/>
      <c r="G421" s="15"/>
    </row>
    <row r="422" spans="1:13" ht="61.5" customHeight="1" x14ac:dyDescent="0.3">
      <c r="A422" s="85"/>
      <c r="B422" s="86"/>
      <c r="C422" s="87"/>
      <c r="D422" s="88"/>
      <c r="E422" s="15"/>
      <c r="F422" s="15"/>
      <c r="G422" s="15"/>
    </row>
    <row r="423" spans="1:13" ht="61.5" customHeight="1" x14ac:dyDescent="0.3">
      <c r="A423" s="85"/>
      <c r="B423" s="86"/>
      <c r="C423" s="87"/>
      <c r="D423" s="88"/>
      <c r="E423" s="15"/>
      <c r="F423" s="15"/>
      <c r="G423" s="15"/>
    </row>
    <row r="424" spans="1:13" ht="61.5" customHeight="1" x14ac:dyDescent="0.3">
      <c r="A424" s="85"/>
      <c r="B424" s="86"/>
      <c r="C424" s="87"/>
      <c r="D424" s="88"/>
      <c r="E424" s="15"/>
      <c r="F424" s="15"/>
      <c r="G424" s="15"/>
    </row>
    <row r="425" spans="1:13" ht="61.5" customHeight="1" x14ac:dyDescent="0.3">
      <c r="A425" s="85"/>
      <c r="B425" s="86"/>
      <c r="C425" s="87"/>
      <c r="D425" s="88"/>
      <c r="E425" s="15"/>
      <c r="F425" s="15"/>
      <c r="G425" s="15"/>
    </row>
    <row r="426" spans="1:13" ht="61.5" customHeight="1" x14ac:dyDescent="0.3">
      <c r="A426" s="85"/>
      <c r="B426" s="86"/>
      <c r="C426" s="87"/>
      <c r="D426" s="88"/>
      <c r="E426" s="15"/>
      <c r="F426" s="15"/>
      <c r="G426" s="15"/>
    </row>
    <row r="427" spans="1:13" ht="61.5" customHeight="1" x14ac:dyDescent="0.3">
      <c r="A427" s="85"/>
      <c r="B427" s="86"/>
      <c r="C427" s="87"/>
      <c r="D427" s="88"/>
      <c r="E427" s="15"/>
      <c r="F427" s="15"/>
      <c r="G427" s="15"/>
    </row>
    <row r="428" spans="1:13" ht="61.5" customHeight="1" x14ac:dyDescent="0.3">
      <c r="A428" s="85"/>
      <c r="B428" s="86"/>
      <c r="C428" s="87"/>
      <c r="D428" s="88"/>
      <c r="E428" s="15"/>
      <c r="F428" s="15"/>
      <c r="G428" s="15"/>
    </row>
    <row r="429" spans="1:13" ht="61.5" customHeight="1" x14ac:dyDescent="0.3">
      <c r="A429" s="85"/>
      <c r="B429" s="86"/>
      <c r="C429" s="87"/>
      <c r="D429" s="88"/>
      <c r="E429" s="15"/>
      <c r="F429" s="15"/>
      <c r="G429" s="15"/>
    </row>
    <row r="430" spans="1:13" ht="61.5" customHeight="1" x14ac:dyDescent="0.3">
      <c r="A430" s="85"/>
      <c r="B430" s="86"/>
      <c r="C430" s="87"/>
      <c r="D430" s="88"/>
      <c r="E430" s="15"/>
      <c r="F430" s="15"/>
      <c r="G430" s="15"/>
    </row>
    <row r="431" spans="1:13" ht="61.5" customHeight="1" x14ac:dyDescent="0.3">
      <c r="A431" s="85"/>
      <c r="B431" s="86"/>
      <c r="C431" s="87"/>
      <c r="D431" s="88"/>
      <c r="E431" s="15"/>
      <c r="F431" s="15"/>
      <c r="G431" s="15"/>
    </row>
    <row r="432" spans="1:13" ht="18" x14ac:dyDescent="0.3">
      <c r="A432" s="79"/>
      <c r="B432" s="79"/>
      <c r="C432" s="79"/>
      <c r="D432" s="79"/>
      <c r="E432" s="79"/>
      <c r="F432" s="79"/>
      <c r="G432" s="79"/>
      <c r="H432" s="79"/>
      <c r="I432" s="79"/>
      <c r="J432" s="79"/>
      <c r="K432" s="79"/>
      <c r="L432" s="79"/>
      <c r="M432" s="49"/>
    </row>
    <row r="433" spans="1:13" ht="18" x14ac:dyDescent="0.3">
      <c r="A433" s="79"/>
      <c r="B433" s="79"/>
      <c r="C433" s="79"/>
      <c r="D433" s="79"/>
      <c r="E433" s="79"/>
      <c r="F433" s="79"/>
      <c r="G433" s="79"/>
      <c r="H433" s="79"/>
      <c r="I433" s="79"/>
      <c r="J433" s="79"/>
      <c r="K433" s="79"/>
      <c r="L433" s="79"/>
      <c r="M433" s="49"/>
    </row>
    <row r="434" spans="1:13" ht="18" x14ac:dyDescent="0.3">
      <c r="A434" s="79"/>
      <c r="B434" s="79"/>
      <c r="C434" s="79"/>
      <c r="D434" s="79"/>
      <c r="E434" s="79"/>
      <c r="F434" s="79"/>
      <c r="G434" s="79"/>
      <c r="H434" s="79"/>
      <c r="I434" s="79"/>
      <c r="J434" s="79"/>
      <c r="K434" s="79"/>
      <c r="L434" s="79"/>
      <c r="M434" s="49"/>
    </row>
    <row r="435" spans="1:13" ht="18" x14ac:dyDescent="0.3">
      <c r="A435" s="79"/>
      <c r="B435" s="79"/>
      <c r="C435" s="79"/>
      <c r="D435" s="79"/>
      <c r="E435" s="79"/>
      <c r="F435" s="79"/>
      <c r="G435" s="79"/>
      <c r="H435" s="79"/>
      <c r="I435" s="79"/>
      <c r="J435" s="79"/>
      <c r="K435" s="79"/>
      <c r="L435" s="79"/>
      <c r="M435" s="49"/>
    </row>
    <row r="436" spans="1:13" ht="18" x14ac:dyDescent="0.3">
      <c r="A436" s="79"/>
      <c r="B436" s="79"/>
      <c r="C436" s="79"/>
      <c r="D436" s="79"/>
      <c r="E436" s="79"/>
      <c r="F436" s="79"/>
      <c r="G436" s="79"/>
      <c r="H436" s="79"/>
      <c r="I436" s="79"/>
      <c r="J436" s="79"/>
      <c r="K436" s="79"/>
      <c r="L436" s="79"/>
      <c r="M436" s="49"/>
    </row>
    <row r="437" spans="1:13" ht="59.25" customHeight="1" x14ac:dyDescent="0.3">
      <c r="A437" s="80"/>
      <c r="B437" s="81"/>
      <c r="C437" s="82"/>
      <c r="D437" s="78"/>
      <c r="E437" s="17"/>
      <c r="F437" s="17"/>
      <c r="G437" s="17"/>
    </row>
    <row r="438" spans="1:13" ht="59.25" customHeight="1" x14ac:dyDescent="0.3">
      <c r="A438" s="80"/>
      <c r="B438" s="81"/>
      <c r="C438" s="82"/>
      <c r="D438" s="78"/>
      <c r="E438" s="17"/>
      <c r="F438" s="17"/>
      <c r="G438" s="17"/>
    </row>
    <row r="439" spans="1:13" ht="59.25" customHeight="1" x14ac:dyDescent="0.3">
      <c r="A439" s="80"/>
      <c r="B439" s="81"/>
      <c r="C439" s="82"/>
      <c r="D439" s="78"/>
      <c r="E439" s="17"/>
      <c r="F439" s="17"/>
      <c r="G439" s="17"/>
    </row>
    <row r="440" spans="1:13" ht="59.25" customHeight="1" x14ac:dyDescent="0.3">
      <c r="A440" s="80"/>
      <c r="B440" s="81"/>
      <c r="C440" s="82"/>
      <c r="D440" s="78"/>
      <c r="E440" s="17"/>
      <c r="F440" s="17"/>
      <c r="G440" s="17"/>
    </row>
    <row r="441" spans="1:13" ht="59.25" customHeight="1" x14ac:dyDescent="0.3">
      <c r="A441" s="80"/>
      <c r="B441" s="81"/>
      <c r="C441" s="82"/>
      <c r="D441" s="78"/>
      <c r="E441" s="17"/>
      <c r="F441" s="17"/>
      <c r="G441" s="17"/>
    </row>
    <row r="442" spans="1:13" ht="59.25" customHeight="1" x14ac:dyDescent="0.3">
      <c r="A442" s="80"/>
      <c r="B442" s="81"/>
      <c r="C442" s="82"/>
      <c r="D442" s="78"/>
      <c r="E442" s="17"/>
      <c r="F442" s="17"/>
      <c r="G442" s="17"/>
    </row>
    <row r="443" spans="1:13" ht="59.25" customHeight="1" x14ac:dyDescent="0.3">
      <c r="A443" s="80"/>
      <c r="B443" s="81"/>
      <c r="C443" s="82"/>
      <c r="D443" s="78"/>
      <c r="E443" s="17"/>
      <c r="F443" s="17"/>
      <c r="G443" s="17"/>
    </row>
    <row r="444" spans="1:13" ht="59.25" customHeight="1" x14ac:dyDescent="0.3">
      <c r="A444" s="80"/>
      <c r="B444" s="81"/>
      <c r="C444" s="82"/>
      <c r="D444" s="78"/>
      <c r="E444" s="17"/>
      <c r="F444" s="17"/>
      <c r="G444" s="17"/>
    </row>
    <row r="445" spans="1:13" ht="59.25" customHeight="1" x14ac:dyDescent="0.3">
      <c r="A445" s="80"/>
      <c r="B445" s="81"/>
      <c r="C445" s="82"/>
      <c r="D445" s="78"/>
      <c r="E445" s="17"/>
      <c r="F445" s="17"/>
      <c r="G445" s="17"/>
    </row>
    <row r="446" spans="1:13" ht="59.25" customHeight="1" x14ac:dyDescent="0.3">
      <c r="A446" s="80"/>
      <c r="B446" s="81"/>
      <c r="C446" s="82"/>
      <c r="D446" s="78"/>
      <c r="E446" s="17"/>
      <c r="F446" s="17"/>
      <c r="G446" s="17"/>
    </row>
    <row r="447" spans="1:13" ht="59.25" customHeight="1" x14ac:dyDescent="0.3">
      <c r="A447" s="80"/>
      <c r="B447" s="81"/>
      <c r="C447" s="82"/>
      <c r="D447" s="78"/>
      <c r="E447" s="17"/>
      <c r="F447" s="17"/>
      <c r="G447" s="17"/>
    </row>
    <row r="448" spans="1:13" ht="59.25" customHeight="1" x14ac:dyDescent="0.3">
      <c r="A448" s="80"/>
      <c r="B448" s="81"/>
      <c r="C448" s="82"/>
      <c r="D448" s="78"/>
      <c r="E448" s="17"/>
      <c r="F448" s="17"/>
      <c r="G448" s="17"/>
    </row>
    <row r="449" spans="1:7" ht="59.25" customHeight="1" x14ac:dyDescent="0.3">
      <c r="A449" s="80"/>
      <c r="B449" s="81"/>
      <c r="C449" s="82"/>
      <c r="D449" s="78"/>
      <c r="E449" s="17"/>
      <c r="F449" s="17"/>
      <c r="G449" s="17"/>
    </row>
    <row r="450" spans="1:7" ht="59.25" customHeight="1" x14ac:dyDescent="0.3">
      <c r="A450" s="80"/>
      <c r="B450" s="81"/>
      <c r="C450" s="82"/>
      <c r="D450" s="78"/>
      <c r="E450" s="17"/>
      <c r="F450" s="17"/>
      <c r="G450" s="17"/>
    </row>
    <row r="451" spans="1:7" ht="59.25" customHeight="1" x14ac:dyDescent="0.3">
      <c r="A451" s="80"/>
      <c r="B451" s="81"/>
      <c r="C451" s="82"/>
      <c r="D451" s="78"/>
      <c r="E451" s="17"/>
      <c r="F451" s="17"/>
      <c r="G451" s="17"/>
    </row>
    <row r="452" spans="1:7" ht="59.25" customHeight="1" x14ac:dyDescent="0.3">
      <c r="A452" s="80"/>
      <c r="B452" s="81"/>
      <c r="C452" s="82"/>
      <c r="D452" s="78"/>
      <c r="E452" s="17"/>
      <c r="F452" s="17"/>
      <c r="G452" s="17"/>
    </row>
    <row r="453" spans="1:7" ht="59.25" customHeight="1" x14ac:dyDescent="0.3">
      <c r="A453" s="80"/>
      <c r="B453" s="81"/>
      <c r="C453" s="82"/>
      <c r="D453" s="78"/>
      <c r="E453" s="17"/>
      <c r="F453" s="17"/>
      <c r="G453" s="17"/>
    </row>
    <row r="454" spans="1:7" ht="59.25" customHeight="1" x14ac:dyDescent="0.3">
      <c r="A454" s="80"/>
      <c r="B454" s="81"/>
      <c r="C454" s="82"/>
      <c r="D454" s="78"/>
      <c r="E454" s="17"/>
      <c r="F454" s="17"/>
      <c r="G454" s="17"/>
    </row>
    <row r="455" spans="1:7" ht="59.25" customHeight="1" x14ac:dyDescent="0.3">
      <c r="A455" s="80"/>
      <c r="B455" s="81"/>
      <c r="C455" s="82"/>
      <c r="D455" s="78"/>
      <c r="E455" s="17"/>
      <c r="F455" s="17"/>
      <c r="G455" s="17"/>
    </row>
    <row r="456" spans="1:7" ht="59.25" customHeight="1" x14ac:dyDescent="0.3">
      <c r="A456" s="80"/>
      <c r="B456" s="81"/>
      <c r="C456" s="82"/>
      <c r="D456" s="78"/>
      <c r="E456" s="17"/>
      <c r="F456" s="17"/>
      <c r="G456" s="17"/>
    </row>
    <row r="457" spans="1:7" ht="59.25" customHeight="1" x14ac:dyDescent="0.3">
      <c r="A457" s="80"/>
      <c r="B457" s="81"/>
      <c r="C457" s="82"/>
      <c r="D457" s="78"/>
      <c r="E457" s="17"/>
      <c r="F457" s="17"/>
      <c r="G457" s="17"/>
    </row>
    <row r="458" spans="1:7" ht="59.25" customHeight="1" x14ac:dyDescent="0.3">
      <c r="A458" s="80"/>
      <c r="B458" s="81"/>
      <c r="C458" s="82"/>
      <c r="D458" s="78"/>
      <c r="E458" s="17"/>
      <c r="F458" s="17"/>
      <c r="G458" s="17"/>
    </row>
    <row r="459" spans="1:7" ht="59.25" customHeight="1" x14ac:dyDescent="0.3">
      <c r="A459" s="80"/>
      <c r="B459" s="81"/>
      <c r="C459" s="82"/>
      <c r="D459" s="78"/>
      <c r="E459" s="17"/>
      <c r="F459" s="17"/>
      <c r="G459" s="17"/>
    </row>
    <row r="460" spans="1:7" ht="59.25" customHeight="1" x14ac:dyDescent="0.3">
      <c r="A460" s="80"/>
      <c r="B460" s="81"/>
      <c r="C460" s="82"/>
      <c r="D460" s="78"/>
      <c r="E460" s="17"/>
      <c r="F460" s="17"/>
      <c r="G460" s="17"/>
    </row>
    <row r="461" spans="1:7" ht="59.25" customHeight="1" x14ac:dyDescent="0.3">
      <c r="A461" s="80"/>
      <c r="B461" s="81"/>
      <c r="C461" s="82"/>
      <c r="D461" s="78"/>
      <c r="E461" s="17"/>
      <c r="F461" s="17"/>
      <c r="G461" s="17"/>
    </row>
    <row r="462" spans="1:7" ht="59.25" customHeight="1" x14ac:dyDescent="0.3">
      <c r="A462" s="80"/>
      <c r="B462" s="81"/>
      <c r="C462" s="82"/>
      <c r="D462" s="78"/>
      <c r="E462" s="17"/>
      <c r="F462" s="17"/>
      <c r="G462" s="17"/>
    </row>
    <row r="463" spans="1:7" ht="59.25" customHeight="1" x14ac:dyDescent="0.3">
      <c r="A463" s="80"/>
      <c r="B463" s="81"/>
      <c r="C463" s="82"/>
      <c r="D463" s="78"/>
      <c r="E463" s="17"/>
      <c r="F463" s="17"/>
      <c r="G463" s="17"/>
    </row>
    <row r="464" spans="1:7" ht="59.25" customHeight="1" x14ac:dyDescent="0.3">
      <c r="A464" s="80"/>
      <c r="B464" s="81"/>
      <c r="C464" s="82"/>
      <c r="D464" s="78"/>
      <c r="E464" s="17"/>
      <c r="F464" s="17"/>
      <c r="G464" s="17"/>
    </row>
    <row r="465" spans="1:7" ht="59.25" customHeight="1" x14ac:dyDescent="0.3">
      <c r="A465" s="80"/>
      <c r="B465" s="81"/>
      <c r="C465" s="82"/>
      <c r="D465" s="78"/>
      <c r="E465" s="17"/>
      <c r="F465" s="17"/>
      <c r="G465" s="17"/>
    </row>
    <row r="466" spans="1:7" ht="59.25" customHeight="1" x14ac:dyDescent="0.3">
      <c r="A466" s="80"/>
      <c r="B466" s="81"/>
      <c r="C466" s="82"/>
      <c r="D466" s="78"/>
      <c r="E466" s="17"/>
      <c r="F466" s="17"/>
      <c r="G466" s="17"/>
    </row>
    <row r="467" spans="1:7" ht="59.25" customHeight="1" x14ac:dyDescent="0.3">
      <c r="A467" s="80"/>
      <c r="B467" s="81"/>
      <c r="C467" s="82"/>
      <c r="D467" s="78"/>
      <c r="E467" s="17"/>
      <c r="F467" s="17"/>
      <c r="G467" s="17"/>
    </row>
    <row r="468" spans="1:7" ht="59.25" customHeight="1" x14ac:dyDescent="0.3">
      <c r="A468" s="80"/>
      <c r="B468" s="81"/>
      <c r="C468" s="82"/>
      <c r="D468" s="78"/>
      <c r="E468" s="17"/>
      <c r="F468" s="17"/>
      <c r="G468" s="17"/>
    </row>
    <row r="469" spans="1:7" ht="59.25" customHeight="1" x14ac:dyDescent="0.3">
      <c r="A469" s="80"/>
      <c r="B469" s="81"/>
      <c r="C469" s="82"/>
      <c r="D469" s="78"/>
      <c r="E469" s="17"/>
      <c r="F469" s="17"/>
      <c r="G469" s="17"/>
    </row>
    <row r="470" spans="1:7" ht="59.25" customHeight="1" x14ac:dyDescent="0.3">
      <c r="A470" s="80"/>
      <c r="B470" s="81"/>
      <c r="C470" s="82"/>
      <c r="D470" s="78"/>
      <c r="E470" s="17"/>
      <c r="F470" s="17"/>
      <c r="G470" s="17"/>
    </row>
    <row r="471" spans="1:7" ht="59.25" customHeight="1" x14ac:dyDescent="0.3">
      <c r="A471" s="80"/>
      <c r="B471" s="81"/>
      <c r="C471" s="82"/>
      <c r="D471" s="78"/>
      <c r="E471" s="17"/>
      <c r="F471" s="17"/>
      <c r="G471" s="17"/>
    </row>
    <row r="472" spans="1:7" ht="59.25" customHeight="1" x14ac:dyDescent="0.3">
      <c r="A472" s="80"/>
      <c r="B472" s="81"/>
      <c r="C472" s="82"/>
      <c r="D472" s="78"/>
      <c r="E472" s="17"/>
      <c r="F472" s="17"/>
      <c r="G472" s="17"/>
    </row>
    <row r="473" spans="1:7" ht="59.25" customHeight="1" x14ac:dyDescent="0.3">
      <c r="A473" s="80"/>
      <c r="B473" s="81"/>
      <c r="C473" s="82"/>
      <c r="D473" s="78"/>
      <c r="E473" s="17"/>
      <c r="F473" s="17"/>
      <c r="G473" s="17"/>
    </row>
    <row r="474" spans="1:7" ht="59.25" customHeight="1" x14ac:dyDescent="0.3">
      <c r="A474" s="80"/>
      <c r="B474" s="81"/>
      <c r="C474" s="82"/>
      <c r="D474" s="78"/>
      <c r="E474" s="17"/>
      <c r="F474" s="17"/>
      <c r="G474" s="17"/>
    </row>
    <row r="475" spans="1:7" ht="59.25" customHeight="1" x14ac:dyDescent="0.3">
      <c r="A475" s="80"/>
      <c r="B475" s="81"/>
      <c r="C475" s="82"/>
      <c r="D475" s="78"/>
      <c r="E475" s="17"/>
      <c r="F475" s="17"/>
      <c r="G475" s="17"/>
    </row>
    <row r="476" spans="1:7" ht="59.25" customHeight="1" x14ac:dyDescent="0.3">
      <c r="A476" s="80"/>
      <c r="B476" s="81"/>
      <c r="C476" s="82"/>
      <c r="D476" s="78"/>
      <c r="E476" s="17"/>
      <c r="F476" s="17"/>
      <c r="G476" s="17"/>
    </row>
    <row r="477" spans="1:7" ht="59.25" customHeight="1" x14ac:dyDescent="0.3">
      <c r="A477" s="80"/>
      <c r="B477" s="81"/>
      <c r="C477" s="82"/>
      <c r="D477" s="78"/>
      <c r="E477" s="17"/>
      <c r="F477" s="17"/>
      <c r="G477" s="17"/>
    </row>
    <row r="478" spans="1:7" ht="59.25" customHeight="1" x14ac:dyDescent="0.3">
      <c r="A478" s="80"/>
      <c r="B478" s="81"/>
      <c r="C478" s="82"/>
      <c r="D478" s="78"/>
      <c r="E478" s="17"/>
      <c r="F478" s="17"/>
      <c r="G478" s="17"/>
    </row>
    <row r="479" spans="1:7" ht="59.25" customHeight="1" x14ac:dyDescent="0.3">
      <c r="A479" s="80"/>
      <c r="B479" s="81"/>
      <c r="C479" s="82"/>
      <c r="D479" s="78"/>
      <c r="E479" s="17"/>
      <c r="F479" s="17"/>
      <c r="G479" s="17"/>
    </row>
    <row r="480" spans="1:7" ht="59.25" customHeight="1" x14ac:dyDescent="0.3">
      <c r="A480" s="80"/>
      <c r="B480" s="81"/>
      <c r="C480" s="82"/>
      <c r="D480" s="78"/>
      <c r="E480" s="17"/>
      <c r="F480" s="17"/>
      <c r="G480" s="17"/>
    </row>
    <row r="481" spans="1:7" ht="59.25" customHeight="1" x14ac:dyDescent="0.3">
      <c r="A481" s="80"/>
      <c r="B481" s="81"/>
      <c r="C481" s="82"/>
      <c r="D481" s="78"/>
      <c r="E481" s="17"/>
      <c r="F481" s="17"/>
      <c r="G481" s="17"/>
    </row>
    <row r="482" spans="1:7" ht="59.25" customHeight="1" x14ac:dyDescent="0.3">
      <c r="A482" s="80"/>
      <c r="B482" s="81"/>
      <c r="C482" s="82"/>
      <c r="D482" s="78"/>
      <c r="E482" s="17"/>
      <c r="F482" s="17"/>
      <c r="G482" s="17"/>
    </row>
    <row r="483" spans="1:7" ht="59.25" customHeight="1" x14ac:dyDescent="0.3">
      <c r="A483" s="80"/>
      <c r="B483" s="81"/>
      <c r="C483" s="82"/>
      <c r="D483" s="78"/>
      <c r="E483" s="17"/>
      <c r="F483" s="17"/>
      <c r="G483" s="17"/>
    </row>
    <row r="484" spans="1:7" ht="59.25" customHeight="1" x14ac:dyDescent="0.3">
      <c r="A484" s="80"/>
      <c r="B484" s="81"/>
      <c r="C484" s="82"/>
      <c r="D484" s="78"/>
      <c r="E484" s="17"/>
      <c r="F484" s="17"/>
      <c r="G484" s="17"/>
    </row>
    <row r="485" spans="1:7" ht="59.25" customHeight="1" x14ac:dyDescent="0.3">
      <c r="A485" s="80"/>
      <c r="B485" s="81"/>
      <c r="C485" s="82"/>
      <c r="D485" s="78"/>
      <c r="E485" s="17"/>
      <c r="F485" s="17"/>
      <c r="G485" s="17"/>
    </row>
    <row r="486" spans="1:7" ht="59.25" customHeight="1" x14ac:dyDescent="0.3">
      <c r="A486" s="80"/>
      <c r="B486" s="81"/>
      <c r="C486" s="82"/>
      <c r="D486" s="78"/>
      <c r="E486" s="17"/>
      <c r="F486" s="17"/>
      <c r="G486" s="17"/>
    </row>
    <row r="487" spans="1:7" ht="59.25" customHeight="1" x14ac:dyDescent="0.3">
      <c r="A487" s="80"/>
      <c r="B487" s="81"/>
      <c r="C487" s="82"/>
      <c r="D487" s="78"/>
      <c r="E487" s="17"/>
      <c r="F487" s="17"/>
      <c r="G487" s="17"/>
    </row>
    <row r="488" spans="1:7" ht="59.25" customHeight="1" x14ac:dyDescent="0.3">
      <c r="A488" s="80"/>
      <c r="B488" s="81"/>
      <c r="C488" s="82"/>
      <c r="D488" s="78"/>
      <c r="E488" s="17"/>
      <c r="F488" s="17"/>
      <c r="G488" s="17"/>
    </row>
    <row r="489" spans="1:7" ht="59.25" customHeight="1" x14ac:dyDescent="0.3">
      <c r="A489" s="80"/>
      <c r="B489" s="81"/>
      <c r="C489" s="82"/>
      <c r="D489" s="78"/>
      <c r="E489" s="17"/>
      <c r="F489" s="17"/>
      <c r="G489" s="17"/>
    </row>
    <row r="490" spans="1:7" ht="59.25" customHeight="1" x14ac:dyDescent="0.3">
      <c r="A490" s="80"/>
      <c r="B490" s="81"/>
      <c r="C490" s="82"/>
      <c r="D490" s="78"/>
      <c r="E490" s="17"/>
      <c r="F490" s="17"/>
      <c r="G490" s="17"/>
    </row>
    <row r="491" spans="1:7" ht="59.25" customHeight="1" x14ac:dyDescent="0.3">
      <c r="A491" s="80"/>
      <c r="B491" s="81"/>
      <c r="C491" s="82"/>
      <c r="D491" s="78"/>
      <c r="E491" s="17"/>
      <c r="F491" s="17"/>
      <c r="G491" s="17"/>
    </row>
    <row r="492" spans="1:7" ht="59.25" customHeight="1" x14ac:dyDescent="0.3">
      <c r="A492" s="80"/>
      <c r="B492" s="81"/>
      <c r="C492" s="82"/>
      <c r="D492" s="78"/>
      <c r="E492" s="17"/>
      <c r="F492" s="17"/>
      <c r="G492" s="17"/>
    </row>
    <row r="493" spans="1:7" ht="59.25" customHeight="1" x14ac:dyDescent="0.3">
      <c r="A493" s="80"/>
      <c r="B493" s="81"/>
      <c r="C493" s="82"/>
      <c r="D493" s="78"/>
      <c r="E493" s="17"/>
      <c r="F493" s="17"/>
      <c r="G493" s="17"/>
    </row>
    <row r="494" spans="1:7" ht="59.25" customHeight="1" x14ac:dyDescent="0.3">
      <c r="A494" s="80"/>
      <c r="B494" s="81"/>
      <c r="C494" s="82"/>
      <c r="D494" s="78"/>
      <c r="E494" s="17"/>
      <c r="F494" s="17"/>
      <c r="G494" s="17"/>
    </row>
    <row r="495" spans="1:7" ht="59.25" customHeight="1" x14ac:dyDescent="0.3">
      <c r="A495" s="80"/>
      <c r="B495" s="81"/>
      <c r="C495" s="82"/>
      <c r="D495" s="78"/>
      <c r="E495" s="17"/>
      <c r="F495" s="17"/>
      <c r="G495" s="17"/>
    </row>
    <row r="496" spans="1:7" ht="59.25" customHeight="1" x14ac:dyDescent="0.3">
      <c r="A496" s="80"/>
      <c r="B496" s="81"/>
      <c r="C496" s="82"/>
      <c r="D496" s="78"/>
      <c r="E496" s="17"/>
      <c r="F496" s="17"/>
      <c r="G496" s="17"/>
    </row>
    <row r="497" spans="1:7" ht="59.25" customHeight="1" x14ac:dyDescent="0.3">
      <c r="A497" s="80"/>
      <c r="B497" s="81"/>
      <c r="C497" s="82"/>
      <c r="D497" s="78"/>
      <c r="E497" s="17"/>
      <c r="F497" s="17"/>
      <c r="G497" s="17"/>
    </row>
    <row r="498" spans="1:7" ht="59.25" customHeight="1" x14ac:dyDescent="0.3">
      <c r="A498" s="80"/>
      <c r="B498" s="81"/>
      <c r="C498" s="82"/>
      <c r="D498" s="78"/>
      <c r="E498" s="17"/>
      <c r="F498" s="17"/>
      <c r="G498" s="17"/>
    </row>
    <row r="499" spans="1:7" ht="59.25" customHeight="1" x14ac:dyDescent="0.3">
      <c r="A499" s="80"/>
      <c r="B499" s="81"/>
      <c r="C499" s="82"/>
      <c r="D499" s="78"/>
      <c r="E499" s="17"/>
      <c r="F499" s="17"/>
      <c r="G499" s="17"/>
    </row>
    <row r="500" spans="1:7" ht="59.25" customHeight="1" x14ac:dyDescent="0.3">
      <c r="A500" s="80"/>
      <c r="B500" s="81"/>
      <c r="C500" s="82"/>
      <c r="D500" s="78"/>
      <c r="E500" s="17"/>
      <c r="F500" s="17"/>
      <c r="G500" s="17"/>
    </row>
    <row r="501" spans="1:7" ht="59.25" customHeight="1" x14ac:dyDescent="0.3">
      <c r="A501" s="80"/>
      <c r="B501" s="81"/>
      <c r="C501" s="82"/>
      <c r="D501" s="78"/>
      <c r="E501" s="17"/>
      <c r="F501" s="17"/>
      <c r="G501" s="17"/>
    </row>
    <row r="502" spans="1:7" ht="59.25" customHeight="1" x14ac:dyDescent="0.3">
      <c r="A502" s="80"/>
      <c r="B502" s="81"/>
      <c r="C502" s="82"/>
      <c r="D502" s="78"/>
      <c r="E502" s="17"/>
      <c r="F502" s="17"/>
      <c r="G502" s="17"/>
    </row>
    <row r="503" spans="1:7" ht="59.25" customHeight="1" x14ac:dyDescent="0.3">
      <c r="A503" s="80"/>
      <c r="B503" s="81"/>
      <c r="C503" s="82"/>
      <c r="D503" s="78"/>
      <c r="E503" s="17"/>
      <c r="F503" s="17"/>
      <c r="G503" s="17"/>
    </row>
    <row r="504" spans="1:7" ht="59.25" customHeight="1" x14ac:dyDescent="0.3">
      <c r="A504" s="80"/>
      <c r="B504" s="81"/>
      <c r="C504" s="82"/>
      <c r="D504" s="78"/>
      <c r="E504" s="17"/>
      <c r="F504" s="17"/>
      <c r="G504" s="17"/>
    </row>
    <row r="505" spans="1:7" ht="59.25" customHeight="1" x14ac:dyDescent="0.3">
      <c r="A505" s="80"/>
      <c r="B505" s="81"/>
      <c r="C505" s="82"/>
      <c r="D505" s="78"/>
      <c r="E505" s="17"/>
      <c r="F505" s="17"/>
      <c r="G505" s="17"/>
    </row>
    <row r="506" spans="1:7" ht="59.25" customHeight="1" x14ac:dyDescent="0.3">
      <c r="A506" s="80"/>
      <c r="B506" s="81"/>
      <c r="C506" s="82"/>
      <c r="D506" s="78"/>
      <c r="E506" s="17"/>
      <c r="F506" s="17"/>
      <c r="G506" s="17"/>
    </row>
    <row r="507" spans="1:7" ht="59.25" customHeight="1" x14ac:dyDescent="0.3">
      <c r="A507" s="80"/>
      <c r="B507" s="81"/>
      <c r="C507" s="82"/>
      <c r="D507" s="78"/>
      <c r="E507" s="17"/>
      <c r="F507" s="17"/>
      <c r="G507" s="17"/>
    </row>
    <row r="508" spans="1:7" ht="59.25" customHeight="1" x14ac:dyDescent="0.3">
      <c r="A508" s="80"/>
      <c r="B508" s="81"/>
      <c r="C508" s="82"/>
      <c r="D508" s="78"/>
      <c r="E508" s="17"/>
      <c r="F508" s="17"/>
      <c r="G508" s="17"/>
    </row>
    <row r="509" spans="1:7" ht="59.25" customHeight="1" x14ac:dyDescent="0.3">
      <c r="A509" s="80"/>
      <c r="B509" s="81"/>
      <c r="C509" s="82"/>
      <c r="D509" s="78"/>
      <c r="E509" s="17"/>
      <c r="F509" s="17"/>
      <c r="G509" s="17"/>
    </row>
    <row r="510" spans="1:7" ht="59.25" customHeight="1" x14ac:dyDescent="0.3">
      <c r="A510" s="80"/>
      <c r="B510" s="81"/>
      <c r="C510" s="57"/>
      <c r="D510" s="58"/>
      <c r="E510" s="17"/>
      <c r="F510" s="17"/>
      <c r="G510" s="17"/>
    </row>
    <row r="511" spans="1:7" ht="59.25" customHeight="1" x14ac:dyDescent="0.3">
      <c r="A511" s="80"/>
      <c r="B511" s="81"/>
      <c r="C511" s="82"/>
      <c r="D511" s="78"/>
      <c r="E511" s="17"/>
      <c r="F511" s="17"/>
      <c r="G511" s="17"/>
    </row>
    <row r="512" spans="1:7" ht="59.25" customHeight="1" x14ac:dyDescent="0.3">
      <c r="A512" s="80"/>
      <c r="B512" s="81"/>
      <c r="C512" s="82"/>
      <c r="D512" s="78"/>
      <c r="E512" s="17"/>
      <c r="F512" s="17"/>
      <c r="G512" s="17"/>
    </row>
    <row r="513" spans="1:7" ht="59.25" customHeight="1" x14ac:dyDescent="0.3">
      <c r="A513" s="80"/>
      <c r="B513" s="81"/>
      <c r="C513" s="82"/>
      <c r="D513" s="78"/>
      <c r="E513" s="17"/>
      <c r="F513" s="17"/>
      <c r="G513" s="17"/>
    </row>
    <row r="514" spans="1:7" ht="59.25" customHeight="1" x14ac:dyDescent="0.3">
      <c r="A514" s="80"/>
      <c r="B514" s="81"/>
      <c r="C514" s="82"/>
      <c r="D514" s="78"/>
      <c r="E514" s="17"/>
      <c r="F514" s="17"/>
      <c r="G514" s="17"/>
    </row>
    <row r="515" spans="1:7" ht="59.25" customHeight="1" x14ac:dyDescent="0.3">
      <c r="A515" s="80"/>
      <c r="B515" s="81"/>
      <c r="C515" s="82"/>
      <c r="D515" s="78"/>
      <c r="E515" s="17"/>
      <c r="F515" s="17"/>
      <c r="G515" s="17"/>
    </row>
    <row r="516" spans="1:7" ht="59.25" customHeight="1" x14ac:dyDescent="0.3">
      <c r="A516" s="80"/>
      <c r="B516" s="81"/>
      <c r="C516" s="82"/>
      <c r="D516" s="78"/>
      <c r="E516" s="17"/>
      <c r="F516" s="17"/>
      <c r="G516" s="17"/>
    </row>
    <row r="517" spans="1:7" ht="59.25" customHeight="1" x14ac:dyDescent="0.3">
      <c r="A517" s="80"/>
      <c r="B517" s="81"/>
      <c r="C517" s="82"/>
      <c r="D517" s="78"/>
      <c r="E517" s="17"/>
      <c r="F517" s="17"/>
      <c r="G517" s="17"/>
    </row>
    <row r="518" spans="1:7" ht="59.25" customHeight="1" x14ac:dyDescent="0.3">
      <c r="A518" s="80"/>
      <c r="B518" s="81"/>
      <c r="C518" s="82"/>
      <c r="D518" s="78"/>
      <c r="E518" s="17"/>
      <c r="F518" s="17"/>
      <c r="G518" s="17"/>
    </row>
    <row r="519" spans="1:7" ht="59.25" customHeight="1" x14ac:dyDescent="0.3">
      <c r="A519" s="80"/>
      <c r="B519" s="81"/>
      <c r="C519" s="77"/>
      <c r="D519" s="78"/>
      <c r="E519" s="17"/>
      <c r="F519" s="17"/>
      <c r="G519" s="17"/>
    </row>
    <row r="520" spans="1:7" ht="59.25" customHeight="1" x14ac:dyDescent="0.3">
      <c r="A520" s="80"/>
      <c r="B520" s="81"/>
      <c r="C520" s="77"/>
      <c r="D520" s="78"/>
      <c r="E520" s="17"/>
      <c r="F520" s="17"/>
      <c r="G520" s="17"/>
    </row>
    <row r="521" spans="1:7" ht="59.25" customHeight="1" x14ac:dyDescent="0.3">
      <c r="A521" s="80"/>
      <c r="B521" s="81"/>
      <c r="C521" s="77"/>
      <c r="D521" s="78"/>
      <c r="E521" s="17"/>
      <c r="F521" s="17"/>
      <c r="G521" s="17"/>
    </row>
    <row r="522" spans="1:7" ht="59.25" customHeight="1" x14ac:dyDescent="0.3">
      <c r="A522" s="80"/>
      <c r="B522" s="81"/>
      <c r="C522" s="77"/>
      <c r="D522" s="78"/>
      <c r="E522" s="17"/>
      <c r="F522" s="17"/>
      <c r="G522" s="17"/>
    </row>
    <row r="523" spans="1:7" ht="59.25" customHeight="1" x14ac:dyDescent="0.3">
      <c r="A523" s="80"/>
      <c r="B523" s="81"/>
      <c r="C523" s="77"/>
      <c r="D523" s="78"/>
      <c r="E523" s="17"/>
      <c r="F523" s="17"/>
      <c r="G523" s="17"/>
    </row>
    <row r="524" spans="1:7" ht="59.25" customHeight="1" x14ac:dyDescent="0.3">
      <c r="A524" s="80"/>
      <c r="B524" s="81"/>
      <c r="C524" s="77"/>
      <c r="D524" s="78"/>
      <c r="E524" s="17"/>
      <c r="F524" s="17"/>
      <c r="G524" s="17"/>
    </row>
    <row r="525" spans="1:7" ht="59.25" customHeight="1" x14ac:dyDescent="0.3">
      <c r="A525" s="80"/>
      <c r="B525" s="81"/>
      <c r="C525" s="77"/>
      <c r="D525" s="78"/>
      <c r="E525" s="17"/>
      <c r="F525" s="17"/>
      <c r="G525" s="17"/>
    </row>
    <row r="526" spans="1:7" ht="59.25" customHeight="1" x14ac:dyDescent="0.3">
      <c r="A526" s="80"/>
      <c r="B526" s="81"/>
      <c r="C526" s="77"/>
      <c r="D526" s="78"/>
      <c r="E526" s="17"/>
      <c r="F526" s="17"/>
      <c r="G526" s="17"/>
    </row>
    <row r="527" spans="1:7" ht="59.25" customHeight="1" x14ac:dyDescent="0.3">
      <c r="A527" s="80"/>
      <c r="B527" s="81"/>
      <c r="C527" s="77"/>
      <c r="D527" s="78"/>
      <c r="E527" s="17"/>
      <c r="F527" s="17"/>
      <c r="G527" s="17"/>
    </row>
    <row r="1048554" spans="5:5" x14ac:dyDescent="0.3">
      <c r="E1048554" s="4">
        <f>COUNT(E1:E9)</f>
        <v>8</v>
      </c>
    </row>
  </sheetData>
  <mergeCells count="169">
    <mergeCell ref="A2:A16"/>
    <mergeCell ref="B2:B16"/>
    <mergeCell ref="C3:C5"/>
    <mergeCell ref="D3:D5"/>
    <mergeCell ref="C6:C7"/>
    <mergeCell ref="D6:D7"/>
    <mergeCell ref="C8:C9"/>
    <mergeCell ref="D8:D9"/>
    <mergeCell ref="C10:C13"/>
    <mergeCell ref="D10:D13"/>
    <mergeCell ref="C14:C16"/>
    <mergeCell ref="D14:D16"/>
    <mergeCell ref="A22:A40"/>
    <mergeCell ref="B22:B40"/>
    <mergeCell ref="C22:C27"/>
    <mergeCell ref="D22:D27"/>
    <mergeCell ref="C28:C30"/>
    <mergeCell ref="D28:D30"/>
    <mergeCell ref="C31:C33"/>
    <mergeCell ref="D31:D33"/>
    <mergeCell ref="C34:C39"/>
    <mergeCell ref="D34:D39"/>
    <mergeCell ref="A96:A239"/>
    <mergeCell ref="B96:B239"/>
    <mergeCell ref="C113:C114"/>
    <mergeCell ref="D113:D114"/>
    <mergeCell ref="C116:C118"/>
    <mergeCell ref="D116:D118"/>
    <mergeCell ref="C119:C122"/>
    <mergeCell ref="D119:D122"/>
    <mergeCell ref="C123:C128"/>
    <mergeCell ref="D123:D128"/>
    <mergeCell ref="C129:C135"/>
    <mergeCell ref="D129:D135"/>
    <mergeCell ref="C136:C143"/>
    <mergeCell ref="D136:D143"/>
    <mergeCell ref="C144:C145"/>
    <mergeCell ref="D144:D145"/>
    <mergeCell ref="C146:C149"/>
    <mergeCell ref="D146:D149"/>
    <mergeCell ref="C150:C155"/>
    <mergeCell ref="D150:D155"/>
    <mergeCell ref="C156:C162"/>
    <mergeCell ref="D156:D162"/>
    <mergeCell ref="C163:C168"/>
    <mergeCell ref="D163:D168"/>
    <mergeCell ref="C169:C174"/>
    <mergeCell ref="D169:D174"/>
    <mergeCell ref="C175:C180"/>
    <mergeCell ref="D175:D180"/>
    <mergeCell ref="C181:C187"/>
    <mergeCell ref="D181:D187"/>
    <mergeCell ref="C188:C199"/>
    <mergeCell ref="D188:D199"/>
    <mergeCell ref="C200:C211"/>
    <mergeCell ref="D200:D211"/>
    <mergeCell ref="C212:C218"/>
    <mergeCell ref="D212:D218"/>
    <mergeCell ref="C219:C226"/>
    <mergeCell ref="D219:D226"/>
    <mergeCell ref="C227:C231"/>
    <mergeCell ref="D227:D231"/>
    <mergeCell ref="C232:C235"/>
    <mergeCell ref="D232:D235"/>
    <mergeCell ref="C236:C239"/>
    <mergeCell ref="D236:D239"/>
    <mergeCell ref="A241:A300"/>
    <mergeCell ref="B241:B300"/>
    <mergeCell ref="C241:C248"/>
    <mergeCell ref="D241:D248"/>
    <mergeCell ref="C249:C255"/>
    <mergeCell ref="D249:D255"/>
    <mergeCell ref="C256:C260"/>
    <mergeCell ref="D256:D260"/>
    <mergeCell ref="C261:C266"/>
    <mergeCell ref="D261:D266"/>
    <mergeCell ref="C267:C275"/>
    <mergeCell ref="D267:D275"/>
    <mergeCell ref="C276:C281"/>
    <mergeCell ref="D276:D281"/>
    <mergeCell ref="C282:C288"/>
    <mergeCell ref="D282:D288"/>
    <mergeCell ref="C289:C295"/>
    <mergeCell ref="D289:D295"/>
    <mergeCell ref="C296:C300"/>
    <mergeCell ref="D296:D300"/>
    <mergeCell ref="A302:A331"/>
    <mergeCell ref="B302:B331"/>
    <mergeCell ref="C302:C307"/>
    <mergeCell ref="D302:D307"/>
    <mergeCell ref="C308:C315"/>
    <mergeCell ref="D308:D315"/>
    <mergeCell ref="C316:C319"/>
    <mergeCell ref="D316:D319"/>
    <mergeCell ref="C320:C327"/>
    <mergeCell ref="D320:D327"/>
    <mergeCell ref="C328:C331"/>
    <mergeCell ref="D328:D331"/>
    <mergeCell ref="A332:L336"/>
    <mergeCell ref="A337:A377"/>
    <mergeCell ref="B337:B377"/>
    <mergeCell ref="C337:C341"/>
    <mergeCell ref="D337:D341"/>
    <mergeCell ref="C342:C343"/>
    <mergeCell ref="D342:D343"/>
    <mergeCell ref="C344:C345"/>
    <mergeCell ref="D344:D345"/>
    <mergeCell ref="C346:C348"/>
    <mergeCell ref="D346:D348"/>
    <mergeCell ref="C349:C353"/>
    <mergeCell ref="D349:D353"/>
    <mergeCell ref="C354:C358"/>
    <mergeCell ref="D354:D358"/>
    <mergeCell ref="C359:C360"/>
    <mergeCell ref="D359:D360"/>
    <mergeCell ref="C361:C362"/>
    <mergeCell ref="D361:D362"/>
    <mergeCell ref="C363:C364"/>
    <mergeCell ref="D363:D364"/>
    <mergeCell ref="C367:C368"/>
    <mergeCell ref="D367:D368"/>
    <mergeCell ref="C369:C372"/>
    <mergeCell ref="D507:D509"/>
    <mergeCell ref="C511:C518"/>
    <mergeCell ref="D369:D372"/>
    <mergeCell ref="C373:C375"/>
    <mergeCell ref="D373:D375"/>
    <mergeCell ref="C376:C377"/>
    <mergeCell ref="D376:D377"/>
    <mergeCell ref="A378:L382"/>
    <mergeCell ref="A383:A431"/>
    <mergeCell ref="B383:B431"/>
    <mergeCell ref="C383:C392"/>
    <mergeCell ref="D383:D392"/>
    <mergeCell ref="C393:C399"/>
    <mergeCell ref="D393:D399"/>
    <mergeCell ref="C400:C410"/>
    <mergeCell ref="D400:D410"/>
    <mergeCell ref="C411:C415"/>
    <mergeCell ref="D411:D415"/>
    <mergeCell ref="C416:C425"/>
    <mergeCell ref="D416:D425"/>
    <mergeCell ref="C426:C431"/>
    <mergeCell ref="D426:D431"/>
    <mergeCell ref="D511:D518"/>
    <mergeCell ref="C519:C527"/>
    <mergeCell ref="D519:D527"/>
    <mergeCell ref="A432:L436"/>
    <mergeCell ref="A437:A527"/>
    <mergeCell ref="B437:B527"/>
    <mergeCell ref="C437:C457"/>
    <mergeCell ref="D437:D457"/>
    <mergeCell ref="C458:C464"/>
    <mergeCell ref="D458:D464"/>
    <mergeCell ref="C465:C470"/>
    <mergeCell ref="D465:D470"/>
    <mergeCell ref="C471:C479"/>
    <mergeCell ref="D471:D479"/>
    <mergeCell ref="C480:C482"/>
    <mergeCell ref="D480:D482"/>
    <mergeCell ref="C483:C488"/>
    <mergeCell ref="D483:D488"/>
    <mergeCell ref="C489:C496"/>
    <mergeCell ref="D489:D496"/>
    <mergeCell ref="C497:C501"/>
    <mergeCell ref="D497:D501"/>
    <mergeCell ref="C502:C506"/>
    <mergeCell ref="D502:D506"/>
    <mergeCell ref="C507:C509"/>
  </mergeCells>
  <conditionalFormatting sqref="J337:J377 J383:J431 J437:J1048576 J2:J4 J42:J331 J6:J20 J23:J39">
    <cfRule type="containsText" dxfId="11" priority="8" operator="containsText" text="None">
      <formula>NOT(ISERROR(SEARCH("None",J2)))</formula>
    </cfRule>
  </conditionalFormatting>
  <conditionalFormatting sqref="J337:J377 J383:J431 J437:J1048576 J2:J4 J42:J331 J6:J20 J23:J39">
    <cfRule type="containsText" dxfId="10" priority="9" operator="containsText" text="Completed">
      <formula>NOT(ISERROR(SEARCH("Completed",J2)))</formula>
    </cfRule>
    <cfRule type="containsText" dxfId="9" priority="10" operator="containsText" text="ongoing">
      <formula>NOT(ISERROR(SEARCH("ongoing",J2)))</formula>
    </cfRule>
    <cfRule type="containsText" dxfId="8" priority="11" operator="containsText" text="Not started">
      <formula>NOT(ISERROR(SEARCH("Not started",J2)))</formula>
    </cfRule>
  </conditionalFormatting>
  <conditionalFormatting sqref="J337:J377 J383:J431 J437:J1048576 J2:J4 J42:J331 J6:J20 J23:J39">
    <cfRule type="containsText" dxfId="7" priority="12" operator="containsText" text="fail">
      <formula>NOT(ISERROR(SEARCH("fail",J2)))</formula>
    </cfRule>
    <cfRule type="containsText" dxfId="6" priority="13" operator="containsText" text="pass">
      <formula>NOT(ISERROR(SEARCH("pass",J2)))</formula>
    </cfRule>
  </conditionalFormatting>
  <conditionalFormatting sqref="J41">
    <cfRule type="containsText" dxfId="5" priority="1" operator="containsText" text="None">
      <formula>NOT(ISERROR(SEARCH("None",J41)))</formula>
    </cfRule>
  </conditionalFormatting>
  <conditionalFormatting sqref="J41">
    <cfRule type="containsText" dxfId="4" priority="2" operator="containsText" text="Completed">
      <formula>NOT(ISERROR(SEARCH("Completed",J41)))</formula>
    </cfRule>
    <cfRule type="containsText" dxfId="3" priority="3" operator="containsText" text="ongoing">
      <formula>NOT(ISERROR(SEARCH("ongoing",J41)))</formula>
    </cfRule>
    <cfRule type="containsText" dxfId="2" priority="4" operator="containsText" text="Not started">
      <formula>NOT(ISERROR(SEARCH("Not started",J41)))</formula>
    </cfRule>
  </conditionalFormatting>
  <conditionalFormatting sqref="J41">
    <cfRule type="containsText" dxfId="1" priority="5" operator="containsText" text="fail">
      <formula>NOT(ISERROR(SEARCH("fail",J41)))</formula>
    </cfRule>
    <cfRule type="containsText" dxfId="0" priority="6" operator="containsText" text="pass">
      <formula>NOT(ISERROR(SEARCH("pass",J41)))</formula>
    </cfRule>
  </conditionalFormatting>
  <dataValidations count="2">
    <dataValidation type="list" allowBlank="1" showInputMessage="1" showErrorMessage="1" sqref="J18:J20 J437:J1048576 J337:J377 J383:J431 J42:J331">
      <formula1>"Not started,ongoing,Completed"</formula1>
      <formula2>0</formula2>
    </dataValidation>
    <dataValidation type="list" allowBlank="1" showInputMessage="1" showErrorMessage="1" sqref="L302:L331 L241:L300 L42:L239 K17:L20 K437:K1048576 K337:K377 K383:K431 K42:K331 H96:H239 H241:H295">
      <formula1>#REF!</formula1>
      <formula2>0</formula2>
    </dataValidation>
  </dataValidation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zoomScale="39" zoomScaleNormal="39" workbookViewId="0">
      <selection activeCell="B41" sqref="B41"/>
    </sheetView>
  </sheetViews>
  <sheetFormatPr defaultColWidth="11.5546875" defaultRowHeight="14.4" x14ac:dyDescent="0.3"/>
  <cols>
    <col min="1" max="1" width="7.21875" style="59" customWidth="1"/>
    <col min="2" max="3" width="11.5546875" style="59"/>
    <col min="4" max="4" width="57.88671875" style="59" customWidth="1"/>
  </cols>
  <sheetData>
    <row r="1" spans="1:5" s="62" customFormat="1" ht="28.8" x14ac:dyDescent="0.3">
      <c r="A1" s="60" t="s">
        <v>161</v>
      </c>
      <c r="B1" s="60" t="s">
        <v>5</v>
      </c>
      <c r="C1" s="60" t="s">
        <v>162</v>
      </c>
      <c r="D1" s="60" t="s">
        <v>163</v>
      </c>
      <c r="E1" s="61"/>
    </row>
    <row r="2" spans="1:5" ht="28.8" x14ac:dyDescent="0.3">
      <c r="A2" s="63">
        <v>0</v>
      </c>
      <c r="B2" s="63" t="s">
        <v>164</v>
      </c>
      <c r="C2" s="63" t="s">
        <v>165</v>
      </c>
      <c r="D2" s="63" t="s">
        <v>166</v>
      </c>
      <c r="E2" s="64"/>
    </row>
    <row r="3" spans="1:5" ht="28.8" x14ac:dyDescent="0.3">
      <c r="A3" s="63">
        <v>1</v>
      </c>
      <c r="B3" s="63" t="s">
        <v>167</v>
      </c>
      <c r="C3" s="63" t="s">
        <v>168</v>
      </c>
      <c r="D3" s="63" t="s">
        <v>169</v>
      </c>
      <c r="E3" s="64"/>
    </row>
    <row r="4" spans="1:5" x14ac:dyDescent="0.3">
      <c r="A4" s="63">
        <v>2</v>
      </c>
      <c r="B4" s="63" t="s">
        <v>170</v>
      </c>
      <c r="C4" s="63" t="s">
        <v>168</v>
      </c>
      <c r="D4" s="63" t="s">
        <v>171</v>
      </c>
      <c r="E4" s="64"/>
    </row>
    <row r="5" spans="1:5" x14ac:dyDescent="0.3">
      <c r="A5" s="63">
        <v>3</v>
      </c>
      <c r="B5" s="63" t="s">
        <v>172</v>
      </c>
      <c r="C5" s="63" t="s">
        <v>168</v>
      </c>
      <c r="D5" s="63" t="s">
        <v>173</v>
      </c>
      <c r="E5" s="64"/>
    </row>
    <row r="6" spans="1:5" ht="43.2" x14ac:dyDescent="0.3">
      <c r="A6" s="63">
        <v>4</v>
      </c>
      <c r="B6" s="63" t="s">
        <v>174</v>
      </c>
      <c r="C6" s="63" t="s">
        <v>165</v>
      </c>
      <c r="D6" s="63" t="s">
        <v>175</v>
      </c>
      <c r="E6" s="64"/>
    </row>
    <row r="7" spans="1:5" ht="28.8" x14ac:dyDescent="0.3">
      <c r="A7" s="63">
        <v>5</v>
      </c>
      <c r="B7" s="63" t="s">
        <v>176</v>
      </c>
      <c r="C7" s="63" t="s">
        <v>168</v>
      </c>
      <c r="D7" s="63" t="s">
        <v>177</v>
      </c>
      <c r="E7" s="64"/>
    </row>
    <row r="8" spans="1:5" ht="28.8" x14ac:dyDescent="0.3">
      <c r="A8" s="63">
        <v>6</v>
      </c>
      <c r="B8" s="63" t="s">
        <v>178</v>
      </c>
      <c r="C8" s="63" t="s">
        <v>168</v>
      </c>
      <c r="D8" s="63" t="s">
        <v>179</v>
      </c>
      <c r="E8" s="64"/>
    </row>
    <row r="9" spans="1:5" x14ac:dyDescent="0.3">
      <c r="A9" s="63" t="s">
        <v>180</v>
      </c>
      <c r="B9" s="63" t="s">
        <v>181</v>
      </c>
      <c r="C9" s="63" t="s">
        <v>182</v>
      </c>
      <c r="D9" s="63" t="s">
        <v>183</v>
      </c>
      <c r="E9" s="64"/>
    </row>
    <row r="10" spans="1:5" ht="28.8" x14ac:dyDescent="0.3">
      <c r="A10" s="63">
        <v>15</v>
      </c>
      <c r="B10" s="63" t="s">
        <v>184</v>
      </c>
      <c r="C10" s="63" t="s">
        <v>168</v>
      </c>
      <c r="D10" s="63" t="s">
        <v>185</v>
      </c>
      <c r="E10" s="64"/>
    </row>
    <row r="11" spans="1:5" ht="28.8" x14ac:dyDescent="0.3">
      <c r="A11" s="63" t="s">
        <v>186</v>
      </c>
      <c r="B11" s="63" t="s">
        <v>187</v>
      </c>
      <c r="C11" s="63" t="s">
        <v>165</v>
      </c>
      <c r="D11" s="63" t="s">
        <v>188</v>
      </c>
      <c r="E11" s="64"/>
    </row>
    <row r="12" spans="1:5" x14ac:dyDescent="0.3">
      <c r="A12" s="65"/>
      <c r="B12" s="65"/>
      <c r="C12" s="65"/>
      <c r="D12" s="65"/>
      <c r="E12" s="64"/>
    </row>
    <row r="13" spans="1:5" x14ac:dyDescent="0.3">
      <c r="A13" s="66"/>
      <c r="B13" s="66"/>
      <c r="C13" s="66"/>
      <c r="D13" s="66"/>
    </row>
    <row r="14" spans="1:5" x14ac:dyDescent="0.3">
      <c r="A14" s="66"/>
      <c r="B14" s="66"/>
      <c r="C14" s="66"/>
      <c r="D14" s="66"/>
    </row>
    <row r="15" spans="1:5" x14ac:dyDescent="0.3">
      <c r="A15" s="66"/>
      <c r="B15" s="66"/>
      <c r="C15" s="66"/>
      <c r="D15" s="66"/>
    </row>
    <row r="17" spans="1:5" x14ac:dyDescent="0.3">
      <c r="A17" s="98" t="s">
        <v>189</v>
      </c>
      <c r="B17" s="98"/>
      <c r="C17" s="98"/>
      <c r="D17" s="98"/>
    </row>
    <row r="18" spans="1:5" x14ac:dyDescent="0.3">
      <c r="A18" s="63">
        <v>15</v>
      </c>
      <c r="B18" s="63" t="s">
        <v>190</v>
      </c>
      <c r="C18" s="63" t="s">
        <v>165</v>
      </c>
      <c r="D18" s="63" t="s">
        <v>191</v>
      </c>
      <c r="E18" s="64"/>
    </row>
    <row r="19" spans="1:5" x14ac:dyDescent="0.3">
      <c r="A19" s="63">
        <v>14</v>
      </c>
      <c r="B19" s="63" t="s">
        <v>192</v>
      </c>
      <c r="C19" s="63" t="s">
        <v>165</v>
      </c>
      <c r="D19" s="63" t="s">
        <v>193</v>
      </c>
      <c r="E19" s="64"/>
    </row>
    <row r="20" spans="1:5" ht="28.8" x14ac:dyDescent="0.3">
      <c r="A20" s="63">
        <v>13</v>
      </c>
      <c r="B20" s="63" t="s">
        <v>194</v>
      </c>
      <c r="C20" s="63" t="s">
        <v>165</v>
      </c>
      <c r="D20" s="63" t="s">
        <v>195</v>
      </c>
      <c r="E20" s="64"/>
    </row>
    <row r="21" spans="1:5" ht="28.8" x14ac:dyDescent="0.3">
      <c r="A21" s="63">
        <v>12</v>
      </c>
      <c r="B21" s="63" t="s">
        <v>196</v>
      </c>
      <c r="C21" s="63" t="s">
        <v>165</v>
      </c>
      <c r="D21" s="63" t="s">
        <v>197</v>
      </c>
      <c r="E21" s="64"/>
    </row>
    <row r="22" spans="1:5" x14ac:dyDescent="0.3">
      <c r="A22" s="63">
        <v>11</v>
      </c>
      <c r="B22" s="63" t="s">
        <v>198</v>
      </c>
      <c r="C22" s="63" t="s">
        <v>165</v>
      </c>
      <c r="D22" s="63" t="s">
        <v>199</v>
      </c>
      <c r="E22" s="64"/>
    </row>
    <row r="23" spans="1:5" x14ac:dyDescent="0.3">
      <c r="A23" s="63">
        <v>10</v>
      </c>
      <c r="B23" s="63" t="s">
        <v>200</v>
      </c>
      <c r="C23" s="63" t="s">
        <v>165</v>
      </c>
      <c r="D23" s="63" t="s">
        <v>201</v>
      </c>
      <c r="E23" s="64"/>
    </row>
    <row r="24" spans="1:5" ht="28.8" x14ac:dyDescent="0.3">
      <c r="A24" s="63">
        <v>9</v>
      </c>
      <c r="B24" s="63" t="s">
        <v>202</v>
      </c>
      <c r="C24" s="63" t="s">
        <v>165</v>
      </c>
      <c r="D24" s="63" t="s">
        <v>203</v>
      </c>
      <c r="E24" s="64"/>
    </row>
    <row r="25" spans="1:5" ht="28.8" x14ac:dyDescent="0.3">
      <c r="A25" s="63">
        <v>8</v>
      </c>
      <c r="B25" s="63" t="s">
        <v>204</v>
      </c>
      <c r="C25" s="63" t="s">
        <v>165</v>
      </c>
      <c r="D25" s="63" t="s">
        <v>205</v>
      </c>
      <c r="E25" s="64"/>
    </row>
    <row r="26" spans="1:5" ht="28.8" x14ac:dyDescent="0.3">
      <c r="A26" s="63">
        <v>7</v>
      </c>
      <c r="B26" s="63" t="s">
        <v>206</v>
      </c>
      <c r="C26" s="63" t="s">
        <v>165</v>
      </c>
      <c r="D26" s="63" t="s">
        <v>207</v>
      </c>
      <c r="E26" s="64"/>
    </row>
    <row r="27" spans="1:5" x14ac:dyDescent="0.3">
      <c r="A27" s="63" t="s">
        <v>208</v>
      </c>
      <c r="B27" s="63" t="s">
        <v>181</v>
      </c>
      <c r="C27" s="63" t="s">
        <v>168</v>
      </c>
      <c r="D27" s="63" t="s">
        <v>209</v>
      </c>
      <c r="E27" s="64"/>
    </row>
    <row r="33" spans="1:5" x14ac:dyDescent="0.3">
      <c r="A33" s="98" t="s">
        <v>210</v>
      </c>
      <c r="B33" s="98"/>
      <c r="C33" s="98"/>
      <c r="D33" s="98"/>
    </row>
    <row r="34" spans="1:5" x14ac:dyDescent="0.3">
      <c r="A34" s="63" t="s">
        <v>211</v>
      </c>
      <c r="B34" s="63" t="s">
        <v>5</v>
      </c>
      <c r="C34" s="63" t="s">
        <v>162</v>
      </c>
      <c r="D34" s="63" t="s">
        <v>212</v>
      </c>
      <c r="E34" s="64"/>
    </row>
    <row r="35" spans="1:5" x14ac:dyDescent="0.3">
      <c r="A35" s="63" t="s">
        <v>213</v>
      </c>
      <c r="B35" s="63" t="s">
        <v>214</v>
      </c>
      <c r="C35" s="63" t="s">
        <v>168</v>
      </c>
      <c r="D35" s="63" t="s">
        <v>215</v>
      </c>
      <c r="E35" s="64"/>
    </row>
    <row r="36" spans="1:5" x14ac:dyDescent="0.3">
      <c r="A36" s="63" t="s">
        <v>216</v>
      </c>
      <c r="B36" s="63" t="s">
        <v>181</v>
      </c>
      <c r="C36" s="63" t="s">
        <v>168</v>
      </c>
      <c r="D36" s="63" t="s">
        <v>209</v>
      </c>
      <c r="E36" s="64"/>
    </row>
    <row r="37" spans="1:5" ht="43.2" x14ac:dyDescent="0.3">
      <c r="A37" s="63">
        <v>6</v>
      </c>
      <c r="B37" s="63" t="s">
        <v>217</v>
      </c>
      <c r="C37" s="63" t="s">
        <v>168</v>
      </c>
      <c r="D37" s="63" t="s">
        <v>218</v>
      </c>
      <c r="E37" s="64"/>
    </row>
    <row r="38" spans="1:5" ht="28.8" x14ac:dyDescent="0.3">
      <c r="A38" s="63">
        <v>5</v>
      </c>
      <c r="B38" s="63" t="s">
        <v>219</v>
      </c>
      <c r="C38" s="63" t="s">
        <v>168</v>
      </c>
      <c r="D38" s="63" t="s">
        <v>220</v>
      </c>
      <c r="E38" s="64"/>
    </row>
    <row r="39" spans="1:5" ht="28.8" x14ac:dyDescent="0.3">
      <c r="A39" s="63">
        <v>4</v>
      </c>
      <c r="B39" s="63" t="s">
        <v>221</v>
      </c>
      <c r="C39" s="63" t="s">
        <v>168</v>
      </c>
      <c r="D39" s="63" t="s">
        <v>222</v>
      </c>
      <c r="E39" s="64"/>
    </row>
    <row r="40" spans="1:5" ht="28.8" x14ac:dyDescent="0.3">
      <c r="A40" s="63">
        <v>3</v>
      </c>
      <c r="B40" s="63" t="s">
        <v>223</v>
      </c>
      <c r="C40" s="63" t="s">
        <v>168</v>
      </c>
      <c r="D40" s="63" t="s">
        <v>224</v>
      </c>
      <c r="E40" s="64"/>
    </row>
    <row r="41" spans="1:5" x14ac:dyDescent="0.3">
      <c r="A41" s="63">
        <v>2</v>
      </c>
      <c r="B41" s="63" t="s">
        <v>225</v>
      </c>
      <c r="C41" s="63" t="s">
        <v>168</v>
      </c>
      <c r="D41" s="63" t="s">
        <v>226</v>
      </c>
      <c r="E41" s="64"/>
    </row>
    <row r="42" spans="1:5" ht="28.8" x14ac:dyDescent="0.3">
      <c r="A42" s="63">
        <v>1</v>
      </c>
      <c r="B42" s="63" t="s">
        <v>227</v>
      </c>
      <c r="C42" s="63" t="s">
        <v>168</v>
      </c>
      <c r="D42" s="63" t="s">
        <v>228</v>
      </c>
      <c r="E42" s="64"/>
    </row>
    <row r="43" spans="1:5" ht="28.8" x14ac:dyDescent="0.3">
      <c r="A43" s="63">
        <v>0</v>
      </c>
      <c r="B43" s="63" t="s">
        <v>229</v>
      </c>
      <c r="C43" s="63" t="s">
        <v>168</v>
      </c>
      <c r="D43" s="63" t="s">
        <v>230</v>
      </c>
      <c r="E43" s="64"/>
    </row>
    <row r="44" spans="1:5" x14ac:dyDescent="0.3">
      <c r="A44" s="65"/>
      <c r="B44" s="65"/>
      <c r="C44" s="65"/>
      <c r="D44" s="65"/>
      <c r="E44" s="64"/>
    </row>
    <row r="45" spans="1:5" x14ac:dyDescent="0.3">
      <c r="A45" s="66"/>
      <c r="B45" s="66"/>
      <c r="C45" s="66"/>
      <c r="D45" s="66"/>
    </row>
    <row r="46" spans="1:5" x14ac:dyDescent="0.3">
      <c r="A46" s="66"/>
      <c r="B46" s="66"/>
      <c r="C46" s="66"/>
      <c r="D46" s="66"/>
    </row>
    <row r="47" spans="1:5" x14ac:dyDescent="0.3">
      <c r="A47" s="66"/>
      <c r="B47" s="66"/>
      <c r="C47" s="66"/>
      <c r="D47" s="66"/>
    </row>
  </sheetData>
  <mergeCells count="2">
    <mergeCell ref="A17:D17"/>
    <mergeCell ref="A33:D33"/>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5"/>
  <sheetViews>
    <sheetView topLeftCell="A10" zoomScale="39" zoomScaleNormal="39" workbookViewId="0">
      <selection activeCell="C45" sqref="C45"/>
    </sheetView>
  </sheetViews>
  <sheetFormatPr defaultColWidth="11.5546875" defaultRowHeight="14.4" x14ac:dyDescent="0.3"/>
  <cols>
    <col min="1" max="1" width="40.6640625" style="59" customWidth="1"/>
    <col min="2" max="2" width="77.21875" style="59" customWidth="1"/>
    <col min="3" max="3" width="99.21875" style="59" customWidth="1"/>
    <col min="4" max="4" width="89" style="59" customWidth="1"/>
    <col min="5" max="5" width="87" style="59" customWidth="1"/>
    <col min="6" max="6" width="36.33203125" style="59" customWidth="1"/>
    <col min="7" max="7" width="60.5546875" style="59" customWidth="1"/>
    <col min="8" max="8" width="68.33203125" style="59" customWidth="1"/>
    <col min="9" max="9" width="30.33203125" style="59" customWidth="1"/>
    <col min="10" max="10" width="22" style="59" customWidth="1"/>
    <col min="11" max="12" width="11.5546875" style="59"/>
    <col min="13" max="13" width="44.77734375" style="59" customWidth="1"/>
  </cols>
  <sheetData>
    <row r="1" spans="1:14" s="67" customFormat="1" x14ac:dyDescent="0.3">
      <c r="A1" s="98" t="s">
        <v>231</v>
      </c>
      <c r="B1" s="98"/>
      <c r="C1" s="98"/>
      <c r="D1" s="98"/>
      <c r="E1" s="98"/>
      <c r="F1" s="98"/>
      <c r="G1" s="98"/>
      <c r="H1" s="98"/>
      <c r="I1" s="98"/>
      <c r="J1" s="98"/>
      <c r="K1" s="98"/>
      <c r="L1" s="98"/>
      <c r="M1" s="98"/>
    </row>
    <row r="2" spans="1:14" s="69" customFormat="1" x14ac:dyDescent="0.3">
      <c r="A2" s="60" t="s">
        <v>0</v>
      </c>
      <c r="B2" s="60" t="s">
        <v>1</v>
      </c>
      <c r="C2" s="60" t="s">
        <v>2</v>
      </c>
      <c r="D2" s="60" t="s">
        <v>3</v>
      </c>
      <c r="E2" s="60" t="s">
        <v>4</v>
      </c>
      <c r="F2" s="60" t="s">
        <v>5</v>
      </c>
      <c r="G2" s="60" t="s">
        <v>6</v>
      </c>
      <c r="H2" s="60" t="s">
        <v>7</v>
      </c>
      <c r="I2" s="60" t="s">
        <v>11</v>
      </c>
      <c r="J2" s="60" t="s">
        <v>12</v>
      </c>
      <c r="K2" s="60" t="s">
        <v>9</v>
      </c>
      <c r="L2" s="60" t="s">
        <v>10</v>
      </c>
      <c r="M2" s="60" t="s">
        <v>8</v>
      </c>
      <c r="N2" s="68"/>
    </row>
    <row r="3" spans="1:14" ht="12.9" customHeight="1" x14ac:dyDescent="0.3">
      <c r="A3" s="63">
        <v>2</v>
      </c>
      <c r="B3" s="63" t="s">
        <v>70</v>
      </c>
      <c r="C3" s="63">
        <v>1</v>
      </c>
      <c r="D3" s="63" t="s">
        <v>71</v>
      </c>
      <c r="E3" s="63">
        <v>1</v>
      </c>
      <c r="F3" s="63" t="s">
        <v>72</v>
      </c>
      <c r="G3" s="63" t="s">
        <v>232</v>
      </c>
      <c r="H3" s="63" t="s">
        <v>233</v>
      </c>
      <c r="I3" s="63" t="s">
        <v>76</v>
      </c>
      <c r="J3" s="63" t="s">
        <v>77</v>
      </c>
      <c r="K3" s="65"/>
      <c r="L3" s="65"/>
      <c r="M3" s="63" t="s">
        <v>75</v>
      </c>
      <c r="N3" s="64"/>
    </row>
    <row r="4" spans="1:14" ht="12.9" customHeight="1" x14ac:dyDescent="0.3">
      <c r="A4" s="65"/>
      <c r="B4" s="65"/>
      <c r="C4" s="65"/>
      <c r="D4" s="65"/>
      <c r="E4" s="63">
        <v>2</v>
      </c>
      <c r="F4" s="63" t="s">
        <v>78</v>
      </c>
      <c r="G4" s="63" t="s">
        <v>234</v>
      </c>
      <c r="H4" s="63" t="s">
        <v>235</v>
      </c>
      <c r="I4" s="63" t="s">
        <v>18</v>
      </c>
      <c r="J4" s="63" t="s">
        <v>77</v>
      </c>
      <c r="K4" s="65"/>
      <c r="L4" s="65"/>
      <c r="M4" s="63" t="s">
        <v>81</v>
      </c>
      <c r="N4" s="64"/>
    </row>
    <row r="5" spans="1:14" ht="12.9" customHeight="1" x14ac:dyDescent="0.3">
      <c r="A5" s="65"/>
      <c r="B5" s="65"/>
      <c r="C5" s="65"/>
      <c r="D5" s="65"/>
      <c r="E5" s="63">
        <v>3</v>
      </c>
      <c r="F5" s="63" t="s">
        <v>82</v>
      </c>
      <c r="G5" s="63" t="s">
        <v>236</v>
      </c>
      <c r="H5" s="63" t="s">
        <v>237</v>
      </c>
      <c r="I5" s="63" t="s">
        <v>18</v>
      </c>
      <c r="J5" s="63" t="s">
        <v>77</v>
      </c>
      <c r="K5" s="65"/>
      <c r="L5" s="65"/>
      <c r="M5" s="63" t="s">
        <v>85</v>
      </c>
      <c r="N5" s="64"/>
    </row>
    <row r="6" spans="1:14" ht="12.9" customHeight="1" x14ac:dyDescent="0.3">
      <c r="A6" s="65"/>
      <c r="B6" s="65"/>
      <c r="C6" s="65"/>
      <c r="D6" s="65"/>
      <c r="E6" s="63">
        <v>4</v>
      </c>
      <c r="F6" s="63" t="s">
        <v>86</v>
      </c>
      <c r="G6" s="63" t="s">
        <v>238</v>
      </c>
      <c r="H6" s="63" t="s">
        <v>239</v>
      </c>
      <c r="I6" s="63" t="s">
        <v>18</v>
      </c>
      <c r="J6" s="63" t="s">
        <v>77</v>
      </c>
      <c r="K6" s="65"/>
      <c r="L6" s="65"/>
      <c r="M6" s="63" t="s">
        <v>89</v>
      </c>
      <c r="N6" s="64"/>
    </row>
    <row r="7" spans="1:14" ht="12.9" customHeight="1" x14ac:dyDescent="0.3">
      <c r="A7" s="65"/>
      <c r="B7" s="65"/>
      <c r="C7" s="65"/>
      <c r="D7" s="65"/>
      <c r="E7" s="63">
        <v>5</v>
      </c>
      <c r="F7" s="63" t="s">
        <v>90</v>
      </c>
      <c r="G7" s="63" t="s">
        <v>240</v>
      </c>
      <c r="H7" s="63" t="s">
        <v>241</v>
      </c>
      <c r="I7" s="63" t="s">
        <v>18</v>
      </c>
      <c r="J7" s="63" t="s">
        <v>77</v>
      </c>
      <c r="K7" s="65"/>
      <c r="L7" s="65"/>
      <c r="M7" s="63" t="s">
        <v>92</v>
      </c>
      <c r="N7" s="64"/>
    </row>
    <row r="8" spans="1:14" ht="12.9" customHeight="1" x14ac:dyDescent="0.3">
      <c r="A8" s="65"/>
      <c r="B8" s="65"/>
      <c r="C8" s="65"/>
      <c r="D8" s="65"/>
      <c r="E8" s="63">
        <v>6</v>
      </c>
      <c r="F8" s="63" t="s">
        <v>93</v>
      </c>
      <c r="G8" s="63" t="s">
        <v>242</v>
      </c>
      <c r="H8" s="63" t="s">
        <v>243</v>
      </c>
      <c r="I8" s="63" t="s">
        <v>18</v>
      </c>
      <c r="J8" s="63" t="s">
        <v>77</v>
      </c>
      <c r="K8" s="65"/>
      <c r="L8" s="65"/>
      <c r="M8" s="63" t="s">
        <v>95</v>
      </c>
      <c r="N8" s="64"/>
    </row>
    <row r="9" spans="1:14" ht="12.9" customHeight="1" x14ac:dyDescent="0.3">
      <c r="A9" s="65"/>
      <c r="B9" s="65"/>
      <c r="C9" s="63">
        <v>2</v>
      </c>
      <c r="D9" s="63" t="s">
        <v>96</v>
      </c>
      <c r="E9" s="63">
        <v>7</v>
      </c>
      <c r="F9" s="63" t="s">
        <v>97</v>
      </c>
      <c r="G9" s="63" t="s">
        <v>244</v>
      </c>
      <c r="H9" s="63" t="s">
        <v>245</v>
      </c>
      <c r="I9" s="63" t="s">
        <v>18</v>
      </c>
      <c r="J9" s="63" t="s">
        <v>77</v>
      </c>
      <c r="K9" s="65"/>
      <c r="L9" s="65"/>
      <c r="M9" s="63" t="s">
        <v>100</v>
      </c>
      <c r="N9" s="64"/>
    </row>
    <row r="10" spans="1:14" ht="12.9" customHeight="1" x14ac:dyDescent="0.3">
      <c r="A10" s="65"/>
      <c r="B10" s="65"/>
      <c r="C10" s="65"/>
      <c r="D10" s="65"/>
      <c r="E10" s="63">
        <v>8</v>
      </c>
      <c r="F10" s="63" t="s">
        <v>101</v>
      </c>
      <c r="G10" s="63" t="s">
        <v>246</v>
      </c>
      <c r="H10" s="63" t="s">
        <v>247</v>
      </c>
      <c r="I10" s="63" t="s">
        <v>18</v>
      </c>
      <c r="J10" s="63" t="s">
        <v>77</v>
      </c>
      <c r="K10" s="65"/>
      <c r="L10" s="65"/>
      <c r="M10" s="63" t="s">
        <v>104</v>
      </c>
      <c r="N10" s="64"/>
    </row>
    <row r="11" spans="1:14" ht="12.9" customHeight="1" x14ac:dyDescent="0.3">
      <c r="A11" s="65"/>
      <c r="B11" s="65"/>
      <c r="C11" s="65"/>
      <c r="D11" s="65"/>
      <c r="E11" s="63">
        <v>9</v>
      </c>
      <c r="F11" s="63" t="s">
        <v>105</v>
      </c>
      <c r="G11" s="63" t="s">
        <v>248</v>
      </c>
      <c r="H11" s="63" t="s">
        <v>249</v>
      </c>
      <c r="I11" s="63" t="s">
        <v>18</v>
      </c>
      <c r="J11" s="63" t="s">
        <v>77</v>
      </c>
      <c r="K11" s="65"/>
      <c r="L11" s="65"/>
      <c r="M11" s="63" t="s">
        <v>108</v>
      </c>
      <c r="N11" s="64"/>
    </row>
    <row r="12" spans="1:14" ht="12.9" customHeight="1" x14ac:dyDescent="0.3">
      <c r="A12" s="65"/>
      <c r="B12" s="65"/>
      <c r="C12" s="63">
        <v>3</v>
      </c>
      <c r="D12" s="63" t="s">
        <v>109</v>
      </c>
      <c r="E12" s="63">
        <v>10</v>
      </c>
      <c r="F12" s="63" t="s">
        <v>110</v>
      </c>
      <c r="G12" s="63" t="s">
        <v>250</v>
      </c>
      <c r="H12" s="63" t="s">
        <v>251</v>
      </c>
      <c r="I12" s="63" t="s">
        <v>32</v>
      </c>
      <c r="J12" s="63" t="s">
        <v>77</v>
      </c>
      <c r="K12" s="65"/>
      <c r="L12" s="65"/>
      <c r="M12" s="63" t="s">
        <v>113</v>
      </c>
      <c r="N12" s="64"/>
    </row>
    <row r="13" spans="1:14" ht="12.9" customHeight="1" x14ac:dyDescent="0.3">
      <c r="A13" s="65"/>
      <c r="B13" s="65"/>
      <c r="C13" s="65"/>
      <c r="D13" s="65"/>
      <c r="E13" s="63">
        <v>11</v>
      </c>
      <c r="F13" s="63" t="s">
        <v>114</v>
      </c>
      <c r="G13" s="63" t="s">
        <v>252</v>
      </c>
      <c r="H13" s="63" t="s">
        <v>253</v>
      </c>
      <c r="I13" s="63" t="s">
        <v>18</v>
      </c>
      <c r="J13" s="63" t="s">
        <v>118</v>
      </c>
      <c r="K13" s="65"/>
      <c r="L13" s="65"/>
      <c r="M13" s="63" t="s">
        <v>117</v>
      </c>
      <c r="N13" s="64"/>
    </row>
    <row r="14" spans="1:14" ht="12.9" customHeight="1" x14ac:dyDescent="0.3">
      <c r="A14" s="65"/>
      <c r="B14" s="65"/>
      <c r="C14" s="65"/>
      <c r="D14" s="65"/>
      <c r="E14" s="63">
        <v>12</v>
      </c>
      <c r="F14" s="63" t="s">
        <v>119</v>
      </c>
      <c r="G14" s="63" t="s">
        <v>254</v>
      </c>
      <c r="H14" s="63" t="s">
        <v>255</v>
      </c>
      <c r="I14" s="63" t="s">
        <v>18</v>
      </c>
      <c r="J14" s="63" t="s">
        <v>118</v>
      </c>
      <c r="K14" s="65"/>
      <c r="L14" s="65"/>
      <c r="M14" s="63" t="s">
        <v>122</v>
      </c>
      <c r="N14" s="64"/>
    </row>
    <row r="15" spans="1:14" ht="12.9" customHeight="1" x14ac:dyDescent="0.3">
      <c r="A15" s="65"/>
      <c r="B15" s="65"/>
      <c r="C15" s="63">
        <v>4</v>
      </c>
      <c r="D15" s="63" t="s">
        <v>256</v>
      </c>
      <c r="E15" s="63">
        <v>13</v>
      </c>
      <c r="F15" s="63" t="s">
        <v>257</v>
      </c>
      <c r="G15" s="63" t="s">
        <v>258</v>
      </c>
      <c r="H15" s="63" t="s">
        <v>259</v>
      </c>
      <c r="I15" s="63" t="s">
        <v>18</v>
      </c>
      <c r="J15" s="63" t="s">
        <v>260</v>
      </c>
      <c r="K15" s="65"/>
      <c r="L15" s="65"/>
      <c r="M15" s="63" t="s">
        <v>261</v>
      </c>
      <c r="N15" s="64"/>
    </row>
    <row r="16" spans="1:14" ht="12.9" customHeight="1" x14ac:dyDescent="0.3">
      <c r="A16" s="65"/>
      <c r="B16" s="65"/>
      <c r="C16" s="65"/>
      <c r="D16" s="65"/>
      <c r="E16" s="63">
        <v>14</v>
      </c>
      <c r="F16" s="63" t="s">
        <v>262</v>
      </c>
      <c r="G16" s="63" t="s">
        <v>263</v>
      </c>
      <c r="H16" s="63" t="s">
        <v>264</v>
      </c>
      <c r="I16" s="63" t="s">
        <v>32</v>
      </c>
      <c r="J16" s="63" t="s">
        <v>260</v>
      </c>
      <c r="K16" s="65"/>
      <c r="L16" s="65"/>
      <c r="M16" s="63" t="s">
        <v>265</v>
      </c>
      <c r="N16" s="64"/>
    </row>
    <row r="17" spans="1:14" ht="12.9" customHeight="1" x14ac:dyDescent="0.3">
      <c r="A17" s="65"/>
      <c r="B17" s="65"/>
      <c r="C17" s="65"/>
      <c r="D17" s="65"/>
      <c r="E17" s="63">
        <v>15</v>
      </c>
      <c r="F17" s="63" t="s">
        <v>266</v>
      </c>
      <c r="G17" s="63" t="s">
        <v>267</v>
      </c>
      <c r="H17" s="63" t="s">
        <v>268</v>
      </c>
      <c r="I17" s="63" t="s">
        <v>18</v>
      </c>
      <c r="J17" s="63" t="s">
        <v>260</v>
      </c>
      <c r="K17" s="65"/>
      <c r="L17" s="65"/>
      <c r="M17" s="63" t="s">
        <v>269</v>
      </c>
      <c r="N17" s="64"/>
    </row>
    <row r="18" spans="1:14" ht="12.9" customHeight="1" x14ac:dyDescent="0.3">
      <c r="A18" s="65"/>
      <c r="B18" s="65"/>
      <c r="C18" s="65"/>
      <c r="D18" s="65"/>
      <c r="E18" s="63">
        <v>16</v>
      </c>
      <c r="F18" s="63" t="s">
        <v>270</v>
      </c>
      <c r="G18" s="63" t="s">
        <v>271</v>
      </c>
      <c r="H18" s="63" t="s">
        <v>272</v>
      </c>
      <c r="I18" s="63" t="s">
        <v>32</v>
      </c>
      <c r="J18" s="63" t="s">
        <v>260</v>
      </c>
      <c r="K18" s="65"/>
      <c r="L18" s="65"/>
      <c r="M18" s="63" t="s">
        <v>273</v>
      </c>
      <c r="N18" s="64"/>
    </row>
    <row r="19" spans="1:14" ht="12.9" customHeight="1" x14ac:dyDescent="0.3">
      <c r="A19" s="65"/>
      <c r="B19" s="65"/>
      <c r="C19" s="63">
        <v>5</v>
      </c>
      <c r="D19" s="63" t="s">
        <v>274</v>
      </c>
      <c r="E19" s="63">
        <v>17</v>
      </c>
      <c r="F19" s="63" t="s">
        <v>275</v>
      </c>
      <c r="G19" s="63" t="s">
        <v>276</v>
      </c>
      <c r="H19" s="63" t="s">
        <v>277</v>
      </c>
      <c r="I19" s="63" t="s">
        <v>128</v>
      </c>
      <c r="J19" s="63" t="s">
        <v>150</v>
      </c>
      <c r="K19" s="65"/>
      <c r="L19" s="65"/>
      <c r="M19" s="63" t="s">
        <v>278</v>
      </c>
      <c r="N19" s="64"/>
    </row>
    <row r="20" spans="1:14" ht="12.9" customHeight="1" x14ac:dyDescent="0.3">
      <c r="A20" s="65"/>
      <c r="B20" s="65"/>
      <c r="C20" s="65"/>
      <c r="D20" s="65"/>
      <c r="E20" s="63">
        <v>18</v>
      </c>
      <c r="F20" s="63" t="s">
        <v>279</v>
      </c>
      <c r="G20" s="63" t="s">
        <v>280</v>
      </c>
      <c r="H20" s="63" t="s">
        <v>281</v>
      </c>
      <c r="I20" s="63" t="s">
        <v>18</v>
      </c>
      <c r="J20" s="63" t="s">
        <v>282</v>
      </c>
      <c r="K20" s="65"/>
      <c r="L20" s="65"/>
      <c r="M20" s="63" t="s">
        <v>283</v>
      </c>
      <c r="N20" s="64"/>
    </row>
    <row r="21" spans="1:14" ht="12.9" customHeight="1" x14ac:dyDescent="0.3">
      <c r="A21" s="65"/>
      <c r="B21" s="65"/>
      <c r="C21" s="65"/>
      <c r="D21" s="65"/>
      <c r="E21" s="63">
        <v>19</v>
      </c>
      <c r="F21" s="63" t="s">
        <v>284</v>
      </c>
      <c r="G21" s="63" t="s">
        <v>285</v>
      </c>
      <c r="H21" s="63" t="s">
        <v>286</v>
      </c>
      <c r="I21" s="63" t="s">
        <v>128</v>
      </c>
      <c r="J21" s="63" t="s">
        <v>282</v>
      </c>
      <c r="K21" s="65"/>
      <c r="L21" s="65"/>
      <c r="M21" s="63" t="s">
        <v>287</v>
      </c>
      <c r="N21" s="64"/>
    </row>
    <row r="22" spans="1:14" ht="12.9" customHeight="1" x14ac:dyDescent="0.3">
      <c r="A22" s="65"/>
      <c r="B22" s="65"/>
      <c r="C22" s="63">
        <v>6</v>
      </c>
      <c r="D22" s="63" t="s">
        <v>123</v>
      </c>
      <c r="E22" s="63">
        <v>20</v>
      </c>
      <c r="F22" s="63" t="s">
        <v>124</v>
      </c>
      <c r="G22" s="63" t="s">
        <v>125</v>
      </c>
      <c r="H22" s="63" t="s">
        <v>126</v>
      </c>
      <c r="I22" s="63" t="s">
        <v>128</v>
      </c>
      <c r="J22" s="63" t="s">
        <v>129</v>
      </c>
      <c r="K22" s="65"/>
      <c r="L22" s="65"/>
      <c r="M22" s="63" t="s">
        <v>127</v>
      </c>
      <c r="N22" s="64"/>
    </row>
    <row r="23" spans="1:14" ht="12.9" customHeight="1" x14ac:dyDescent="0.3">
      <c r="A23" s="65"/>
      <c r="B23" s="65"/>
      <c r="C23" s="65"/>
      <c r="D23" s="65"/>
      <c r="E23" s="63">
        <v>21</v>
      </c>
      <c r="F23" s="63" t="s">
        <v>130</v>
      </c>
      <c r="G23" s="63" t="s">
        <v>288</v>
      </c>
      <c r="H23" s="63" t="s">
        <v>289</v>
      </c>
      <c r="I23" s="63" t="s">
        <v>128</v>
      </c>
      <c r="J23" s="63" t="s">
        <v>129</v>
      </c>
      <c r="K23" s="65"/>
      <c r="L23" s="65"/>
      <c r="M23" s="63" t="s">
        <v>133</v>
      </c>
      <c r="N23" s="64"/>
    </row>
    <row r="24" spans="1:14" ht="12.9" customHeight="1" x14ac:dyDescent="0.3">
      <c r="A24" s="65"/>
      <c r="B24" s="65"/>
      <c r="C24" s="65"/>
      <c r="D24" s="65"/>
      <c r="E24" s="63">
        <v>22</v>
      </c>
      <c r="F24" s="63" t="s">
        <v>134</v>
      </c>
      <c r="G24" s="63" t="s">
        <v>290</v>
      </c>
      <c r="H24" s="63" t="s">
        <v>291</v>
      </c>
      <c r="I24" s="63" t="s">
        <v>128</v>
      </c>
      <c r="J24" s="63" t="s">
        <v>129</v>
      </c>
      <c r="K24" s="65"/>
      <c r="L24" s="65"/>
      <c r="M24" s="63" t="s">
        <v>137</v>
      </c>
      <c r="N24" s="64"/>
    </row>
    <row r="25" spans="1:14" ht="12.9" customHeight="1" x14ac:dyDescent="0.3">
      <c r="A25" s="65"/>
      <c r="B25" s="65"/>
      <c r="C25" s="65"/>
      <c r="D25" s="65"/>
      <c r="E25" s="63">
        <v>23</v>
      </c>
      <c r="F25" s="63" t="s">
        <v>138</v>
      </c>
      <c r="G25" s="63" t="s">
        <v>292</v>
      </c>
      <c r="H25" s="63" t="s">
        <v>293</v>
      </c>
      <c r="I25" s="63" t="s">
        <v>128</v>
      </c>
      <c r="J25" s="63" t="s">
        <v>129</v>
      </c>
      <c r="K25" s="65"/>
      <c r="L25" s="65"/>
      <c r="M25" s="63" t="s">
        <v>141</v>
      </c>
      <c r="N25" s="64"/>
    </row>
    <row r="26" spans="1:14" ht="12.9" customHeight="1" x14ac:dyDescent="0.3">
      <c r="A26" s="65"/>
      <c r="B26" s="65"/>
      <c r="C26" s="65"/>
      <c r="D26" s="65"/>
      <c r="E26" s="63">
        <v>24</v>
      </c>
      <c r="F26" s="63" t="s">
        <v>142</v>
      </c>
      <c r="G26" s="63" t="s">
        <v>294</v>
      </c>
      <c r="H26" s="63" t="s">
        <v>295</v>
      </c>
      <c r="I26" s="63" t="s">
        <v>32</v>
      </c>
      <c r="J26" s="63" t="s">
        <v>129</v>
      </c>
      <c r="K26" s="65"/>
      <c r="L26" s="65"/>
      <c r="M26" s="63" t="s">
        <v>145</v>
      </c>
      <c r="N26" s="64"/>
    </row>
    <row r="27" spans="1:14" ht="12.9" customHeight="1" x14ac:dyDescent="0.3">
      <c r="A27" s="65"/>
      <c r="B27" s="65"/>
      <c r="C27" s="65"/>
      <c r="D27" s="65"/>
      <c r="E27" s="63">
        <v>25</v>
      </c>
      <c r="F27" s="63" t="s">
        <v>146</v>
      </c>
      <c r="G27" s="63" t="s">
        <v>296</v>
      </c>
      <c r="H27" s="63" t="s">
        <v>297</v>
      </c>
      <c r="I27" s="63" t="s">
        <v>128</v>
      </c>
      <c r="J27" s="63" t="s">
        <v>150</v>
      </c>
      <c r="K27" s="65"/>
      <c r="L27" s="65"/>
      <c r="M27" s="63" t="s">
        <v>149</v>
      </c>
      <c r="N27" s="64"/>
    </row>
    <row r="28" spans="1:14" ht="12.9" customHeight="1" x14ac:dyDescent="0.3">
      <c r="A28" s="65"/>
      <c r="B28" s="65"/>
      <c r="C28" s="63">
        <v>7</v>
      </c>
      <c r="D28" s="63" t="s">
        <v>151</v>
      </c>
      <c r="E28" s="63">
        <v>26</v>
      </c>
      <c r="F28" s="63" t="s">
        <v>152</v>
      </c>
      <c r="G28" s="63" t="s">
        <v>298</v>
      </c>
      <c r="H28" s="63" t="s">
        <v>299</v>
      </c>
      <c r="I28" s="63" t="s">
        <v>32</v>
      </c>
      <c r="J28" s="63" t="s">
        <v>154</v>
      </c>
      <c r="K28" s="65"/>
      <c r="L28" s="65"/>
      <c r="M28" s="63" t="s">
        <v>153</v>
      </c>
      <c r="N28" s="64"/>
    </row>
    <row r="29" spans="1:14" x14ac:dyDescent="0.3">
      <c r="A29" s="65"/>
      <c r="B29" s="65"/>
      <c r="C29" s="65"/>
      <c r="D29" s="65"/>
      <c r="E29" s="65"/>
      <c r="F29" s="65"/>
      <c r="G29" s="65"/>
      <c r="H29" s="65"/>
      <c r="I29" s="65"/>
      <c r="J29" s="65"/>
      <c r="K29" s="65"/>
      <c r="L29" s="65"/>
      <c r="M29" s="65"/>
      <c r="N29" s="64"/>
    </row>
    <row r="31" spans="1:14" s="70" customFormat="1" x14ac:dyDescent="0.3">
      <c r="A31" s="66"/>
      <c r="B31" s="66"/>
      <c r="C31" s="66"/>
      <c r="D31" s="66"/>
      <c r="E31" s="66"/>
      <c r="F31" s="66"/>
      <c r="G31" s="66"/>
      <c r="H31" s="66"/>
      <c r="I31" s="66"/>
      <c r="J31" s="66"/>
      <c r="K31" s="66"/>
      <c r="L31" s="66"/>
      <c r="M31" s="66"/>
    </row>
    <row r="34" spans="1:14" x14ac:dyDescent="0.3">
      <c r="A34" s="98" t="s">
        <v>300</v>
      </c>
      <c r="B34" s="98"/>
      <c r="C34" s="98"/>
      <c r="D34" s="98"/>
      <c r="E34" s="98"/>
      <c r="F34" s="98"/>
      <c r="G34" s="98"/>
      <c r="H34" s="98"/>
      <c r="I34" s="98"/>
      <c r="J34" s="98"/>
      <c r="K34" s="98"/>
      <c r="L34" s="98"/>
      <c r="M34" s="98"/>
      <c r="N34" s="67"/>
    </row>
    <row r="35" spans="1:14" s="69" customFormat="1" ht="12.9" customHeight="1" x14ac:dyDescent="0.3">
      <c r="A35" s="60" t="s">
        <v>301</v>
      </c>
      <c r="B35" s="60" t="s">
        <v>302</v>
      </c>
      <c r="C35" s="60" t="s">
        <v>303</v>
      </c>
      <c r="D35" s="60" t="s">
        <v>304</v>
      </c>
      <c r="E35" s="60" t="s">
        <v>305</v>
      </c>
      <c r="F35" s="68"/>
      <c r="G35" s="71"/>
      <c r="H35" s="71"/>
      <c r="I35" s="71"/>
      <c r="J35" s="71"/>
      <c r="K35" s="71"/>
      <c r="L35" s="71"/>
      <c r="M35" s="71"/>
    </row>
    <row r="36" spans="1:14" ht="12.9" customHeight="1" x14ac:dyDescent="0.3">
      <c r="A36" s="63" t="s">
        <v>306</v>
      </c>
      <c r="B36" s="63" t="s">
        <v>307</v>
      </c>
      <c r="C36" s="63" t="s">
        <v>308</v>
      </c>
      <c r="D36" s="63" t="s">
        <v>309</v>
      </c>
      <c r="E36" s="63" t="s">
        <v>310</v>
      </c>
      <c r="F36" s="64"/>
    </row>
    <row r="37" spans="1:14" ht="12.9" customHeight="1" x14ac:dyDescent="0.3">
      <c r="A37" s="63" t="s">
        <v>311</v>
      </c>
      <c r="B37" s="63" t="s">
        <v>312</v>
      </c>
      <c r="C37" s="63" t="s">
        <v>313</v>
      </c>
      <c r="D37" s="63" t="s">
        <v>314</v>
      </c>
      <c r="E37" s="63" t="s">
        <v>315</v>
      </c>
      <c r="F37" s="64"/>
    </row>
    <row r="38" spans="1:14" ht="12.9" customHeight="1" x14ac:dyDescent="0.3">
      <c r="A38" s="63" t="s">
        <v>316</v>
      </c>
      <c r="B38" s="63" t="s">
        <v>317</v>
      </c>
      <c r="C38" s="63" t="s">
        <v>318</v>
      </c>
      <c r="D38" s="63" t="s">
        <v>319</v>
      </c>
      <c r="E38" s="63" t="s">
        <v>320</v>
      </c>
      <c r="F38" s="64"/>
    </row>
    <row r="39" spans="1:14" ht="12.9" customHeight="1" x14ac:dyDescent="0.3">
      <c r="A39" s="63" t="s">
        <v>321</v>
      </c>
      <c r="B39" s="63" t="s">
        <v>322</v>
      </c>
      <c r="C39" s="63" t="s">
        <v>323</v>
      </c>
      <c r="D39" s="63" t="s">
        <v>324</v>
      </c>
      <c r="E39" s="63" t="s">
        <v>325</v>
      </c>
      <c r="F39" s="64"/>
    </row>
    <row r="40" spans="1:14" ht="12.9" customHeight="1" x14ac:dyDescent="0.3">
      <c r="A40" s="63" t="s">
        <v>326</v>
      </c>
      <c r="B40" s="63" t="s">
        <v>327</v>
      </c>
      <c r="C40" s="63" t="s">
        <v>328</v>
      </c>
      <c r="D40" s="63" t="s">
        <v>329</v>
      </c>
      <c r="E40" s="63" t="s">
        <v>330</v>
      </c>
      <c r="F40" s="64"/>
    </row>
    <row r="41" spans="1:14" ht="12.9" customHeight="1" x14ac:dyDescent="0.3">
      <c r="A41" s="63" t="s">
        <v>331</v>
      </c>
      <c r="B41" s="63" t="s">
        <v>332</v>
      </c>
      <c r="C41" s="63" t="s">
        <v>333</v>
      </c>
      <c r="D41" s="63" t="s">
        <v>334</v>
      </c>
      <c r="E41" s="63" t="s">
        <v>335</v>
      </c>
      <c r="F41" s="64"/>
    </row>
    <row r="42" spans="1:14" ht="12.9" customHeight="1" x14ac:dyDescent="0.3">
      <c r="A42" s="63" t="s">
        <v>61</v>
      </c>
      <c r="B42" s="63" t="s">
        <v>62</v>
      </c>
      <c r="C42" s="63" t="s">
        <v>336</v>
      </c>
      <c r="D42" s="63" t="s">
        <v>337</v>
      </c>
      <c r="E42" s="63" t="s">
        <v>63</v>
      </c>
      <c r="F42" s="64"/>
    </row>
    <row r="43" spans="1:14" ht="12.9" customHeight="1" x14ac:dyDescent="0.3">
      <c r="A43" s="63" t="s">
        <v>64</v>
      </c>
      <c r="B43" s="63" t="s">
        <v>65</v>
      </c>
      <c r="C43" s="63" t="s">
        <v>338</v>
      </c>
      <c r="D43" s="63" t="s">
        <v>339</v>
      </c>
      <c r="E43" s="63" t="s">
        <v>66</v>
      </c>
      <c r="F43" s="64"/>
    </row>
    <row r="44" spans="1:14" ht="12.9" customHeight="1" x14ac:dyDescent="0.3">
      <c r="A44" s="63" t="s">
        <v>67</v>
      </c>
      <c r="B44" s="63" t="s">
        <v>68</v>
      </c>
      <c r="C44" s="63" t="s">
        <v>340</v>
      </c>
      <c r="D44" s="63" t="s">
        <v>341</v>
      </c>
      <c r="E44" s="63" t="s">
        <v>69</v>
      </c>
      <c r="F44" s="64"/>
    </row>
    <row r="45" spans="1:14" ht="12.9" customHeight="1" x14ac:dyDescent="0.3">
      <c r="A45" s="63" t="s">
        <v>54</v>
      </c>
      <c r="B45" s="63" t="s">
        <v>342</v>
      </c>
      <c r="C45" s="63" t="s">
        <v>343</v>
      </c>
      <c r="D45" s="63" t="s">
        <v>344</v>
      </c>
      <c r="E45" s="63" t="s">
        <v>345</v>
      </c>
      <c r="F45" s="64"/>
    </row>
    <row r="46" spans="1:14" ht="12.9" customHeight="1" x14ac:dyDescent="0.3">
      <c r="A46" s="63" t="s">
        <v>346</v>
      </c>
      <c r="B46" s="63" t="s">
        <v>347</v>
      </c>
      <c r="C46" s="63" t="s">
        <v>348</v>
      </c>
      <c r="D46" s="63" t="s">
        <v>349</v>
      </c>
      <c r="E46" s="63" t="s">
        <v>350</v>
      </c>
      <c r="F46" s="64"/>
    </row>
    <row r="47" spans="1:14" ht="12.9" customHeight="1" x14ac:dyDescent="0.3">
      <c r="A47" s="63" t="s">
        <v>351</v>
      </c>
      <c r="B47" s="63" t="s">
        <v>352</v>
      </c>
      <c r="C47" s="63" t="s">
        <v>353</v>
      </c>
      <c r="D47" s="63" t="s">
        <v>354</v>
      </c>
      <c r="E47" s="63" t="s">
        <v>355</v>
      </c>
      <c r="F47" s="64"/>
    </row>
    <row r="48" spans="1:14" ht="12.9" customHeight="1" x14ac:dyDescent="0.3">
      <c r="A48" s="63" t="s">
        <v>356</v>
      </c>
      <c r="B48" s="63" t="s">
        <v>357</v>
      </c>
      <c r="C48" s="63" t="s">
        <v>358</v>
      </c>
      <c r="D48" s="63" t="s">
        <v>359</v>
      </c>
      <c r="E48" s="63" t="s">
        <v>360</v>
      </c>
      <c r="F48" s="64"/>
    </row>
    <row r="49" spans="1:6" ht="12.9" customHeight="1" x14ac:dyDescent="0.3">
      <c r="A49" s="63" t="s">
        <v>361</v>
      </c>
      <c r="B49" s="63" t="s">
        <v>362</v>
      </c>
      <c r="C49" s="63" t="s">
        <v>363</v>
      </c>
      <c r="D49" s="63" t="s">
        <v>364</v>
      </c>
      <c r="E49" s="63" t="s">
        <v>365</v>
      </c>
      <c r="F49" s="64"/>
    </row>
    <row r="50" spans="1:6" ht="12.9" customHeight="1" x14ac:dyDescent="0.3">
      <c r="A50" s="63" t="s">
        <v>43</v>
      </c>
      <c r="B50" s="63" t="s">
        <v>366</v>
      </c>
      <c r="C50" s="63" t="s">
        <v>367</v>
      </c>
      <c r="D50" s="63" t="s">
        <v>368</v>
      </c>
      <c r="E50" s="63" t="s">
        <v>369</v>
      </c>
      <c r="F50" s="64"/>
    </row>
    <row r="51" spans="1:6" ht="12.9" customHeight="1" x14ac:dyDescent="0.3">
      <c r="A51" s="63" t="s">
        <v>370</v>
      </c>
      <c r="B51" s="63" t="s">
        <v>371</v>
      </c>
      <c r="C51" s="63" t="s">
        <v>372</v>
      </c>
      <c r="D51" s="63" t="s">
        <v>373</v>
      </c>
      <c r="E51" s="63" t="s">
        <v>374</v>
      </c>
      <c r="F51" s="64"/>
    </row>
    <row r="52" spans="1:6" ht="12.9" customHeight="1" x14ac:dyDescent="0.3">
      <c r="A52" s="63" t="s">
        <v>375</v>
      </c>
      <c r="B52" s="63" t="s">
        <v>58</v>
      </c>
      <c r="C52" s="63" t="s">
        <v>376</v>
      </c>
      <c r="D52" s="63" t="s">
        <v>377</v>
      </c>
      <c r="E52" s="63" t="s">
        <v>378</v>
      </c>
      <c r="F52" s="64"/>
    </row>
    <row r="53" spans="1:6" ht="12.9" customHeight="1" x14ac:dyDescent="0.3">
      <c r="A53" s="63" t="s">
        <v>379</v>
      </c>
      <c r="B53" s="63" t="s">
        <v>380</v>
      </c>
      <c r="C53" s="63" t="s">
        <v>381</v>
      </c>
      <c r="D53" s="63" t="s">
        <v>382</v>
      </c>
      <c r="E53" s="63" t="s">
        <v>383</v>
      </c>
      <c r="F53" s="64"/>
    </row>
    <row r="54" spans="1:6" ht="12.9" customHeight="1" x14ac:dyDescent="0.3">
      <c r="A54" s="63" t="s">
        <v>384</v>
      </c>
      <c r="B54" s="63" t="s">
        <v>385</v>
      </c>
      <c r="C54" s="63" t="s">
        <v>386</v>
      </c>
      <c r="D54" s="63" t="s">
        <v>387</v>
      </c>
      <c r="E54" s="63" t="s">
        <v>388</v>
      </c>
      <c r="F54" s="64"/>
    </row>
    <row r="55" spans="1:6" x14ac:dyDescent="0.3">
      <c r="A55" s="65"/>
      <c r="B55" s="65"/>
      <c r="C55" s="65"/>
      <c r="D55" s="65"/>
      <c r="E55" s="65"/>
      <c r="F55" s="64"/>
    </row>
  </sheetData>
  <mergeCells count="2">
    <mergeCell ref="A1:M1"/>
    <mergeCell ref="A34:M3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A2ABA2-2AE7-458F-84A6-54746C92ACFB}">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TotalTime>2361</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MIIM &amp; TX TEST PLAN</vt:lpstr>
      <vt:lpstr>PHY REGS</vt:lpstr>
      <vt:lpstr>TPs Skeleton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Mohamed Salama</cp:lastModifiedBy>
  <cp:revision>24</cp:revision>
  <dcterms:created xsi:type="dcterms:W3CDTF">2023-01-31T06:46:07Z</dcterms:created>
  <dcterms:modified xsi:type="dcterms:W3CDTF">2026-07-18T01:42:18Z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0x010100A8864D42FC896E4BAAB664BBDD9466A6</vt:lpwstr>
  </property>
  <property fmtid="{D5CDD505-2E9C-101B-9397-08002B2CF9AE}" pid="3" name="MediaServiceImageTags">
    <vt:lpwstr/>
  </property>
</Properties>
</file>